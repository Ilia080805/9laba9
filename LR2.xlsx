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Definition1.xml" ContentType="application/vnd.openxmlformats-officedocument.spreadsheetml.pivotCacheDefinition+xml"/>
  <Override PartName="/xl/worksheets/sheet1.xml" ContentType="application/vnd.openxmlformats-officedocument.spreadsheetml.worksheet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xl/charts/style9.xml" ContentType="application/vnd.ms-office.chartstyle+xml"/>
  <Override PartName="/xl/charts/chart9.xml" ContentType="application/vnd.openxmlformats-officedocument.drawingml.chart+xml"/>
  <Override PartName="/xl/charts/style8.xml" ContentType="application/vnd.ms-office.chartstyle+xml"/>
  <Override PartName="/xl/charts/chart8.xml" ContentType="application/vnd.openxmlformats-officedocument.drawingml.chart+xml"/>
  <Override PartName="/xl/charts/style7.xml" ContentType="application/vnd.ms-office.chart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olors9.xml" ContentType="application/vnd.ms-office.chartcolorstyle+xml"/>
  <Override PartName="/xl/charts/chart6.xml" ContentType="application/vnd.openxmlformats-officedocument.drawingml.chart+xml"/>
  <Override PartName="/xl/styles.xml" ContentType="application/vnd.openxmlformats-officedocument.spreadsheetml.styles+xml"/>
  <Override PartName="/xl/charts/style5.xml" ContentType="application/vnd.ms-office.chartstyle+xml"/>
  <Override PartName="/xl/charts/colors8.xml" ContentType="application/vnd.ms-office.chartcolorstyle+xml"/>
  <Override PartName="/xl/sharedStrings.xml" ContentType="application/vnd.openxmlformats-officedocument.spreadsheetml.sharedStrings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olors4.xml" ContentType="application/vnd.ms-office.chartcolorstyle+xml"/>
  <Override PartName="/xl/worksheets/sheet8.xml" ContentType="application/vnd.openxmlformats-officedocument.spreadsheetml.worksheet+xml"/>
  <Override PartName="/xl/charts/style4.xml" ContentType="application/vnd.ms-office.chartstyle+xml"/>
  <Override PartName="/xl/pivotCache/pivotCacheRecords1.xml" ContentType="application/vnd.openxmlformats-officedocument.spreadsheetml.pivotCacheRecords+xml"/>
  <Override PartName="/xl/charts/chart2.xml" ContentType="application/vnd.openxmlformats-officedocument.drawingml.chart+xml"/>
  <Override PartName="/xl/charts/colors7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style1.xml" ContentType="application/vnd.ms-office.chart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.xml" ContentType="application/vnd.openxmlformats-officedocument.drawingml.chart+xml"/>
  <Override PartName="/xl/charts/colors5.xml" ContentType="application/vnd.ms-office.chartcolor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7"/>
  </bookViews>
  <sheets>
    <sheet name="Лист1" sheetId="1" state="visible" r:id="rId2"/>
    <sheet name="Диаграммы" sheetId="2" state="visible" r:id="rId3"/>
    <sheet name="Производство зерна" sheetId="3" state="visible" r:id="rId4"/>
    <sheet name="Диаграммы.Производство зерна" sheetId="4" state="visible" r:id="rId5"/>
    <sheet name="Литература" sheetId="5" state="visible" r:id="rId6"/>
    <sheet name="Исходные данные" sheetId="6" state="visible" r:id="rId7"/>
    <sheet name="Год-Продукция" sheetId="7" state="visible" r:id="rId8"/>
    <sheet name="Поставщики" sheetId="8" state="visible" r:id="rId9"/>
  </sheets>
  <definedNames>
    <definedName name="_xlnm._FilterDatabase" localSheetId="5" hidden="1">'Исходные данные'!$A$1:$G$12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<sst xmlns="http://schemas.openxmlformats.org/spreadsheetml/2006/main" count="79" uniqueCount="79">
  <si>
    <t xml:space="preserve">Результаты работы малого предприятия</t>
  </si>
  <si>
    <t xml:space="preserve">Цена продукта</t>
  </si>
  <si>
    <t>Затраты</t>
  </si>
  <si>
    <t>Рентабельность</t>
  </si>
  <si>
    <t xml:space="preserve">1 квартал</t>
  </si>
  <si>
    <t xml:space="preserve">2 квартал</t>
  </si>
  <si>
    <t xml:space="preserve">3 квартал</t>
  </si>
  <si>
    <t xml:space="preserve">4 квартал</t>
  </si>
  <si>
    <t xml:space="preserve">за год</t>
  </si>
  <si>
    <t>реализовано</t>
  </si>
  <si>
    <t xml:space="preserve">выручено денег</t>
  </si>
  <si>
    <t>себестоимость</t>
  </si>
  <si>
    <t xml:space="preserve">прямые расходы</t>
  </si>
  <si>
    <t>Прибыль</t>
  </si>
  <si>
    <t xml:space="preserve">Сведения о производстве зерна в 2009г.</t>
  </si>
  <si>
    <t xml:space="preserve">№ п\п</t>
  </si>
  <si>
    <t>Страна</t>
  </si>
  <si>
    <t xml:space="preserve">Посевна площадь (га)</t>
  </si>
  <si>
    <t xml:space="preserve">Урожайность (т\га)</t>
  </si>
  <si>
    <t xml:space="preserve">Валовой сбор (т)</t>
  </si>
  <si>
    <t xml:space="preserve">Внутреннее потребление (т)</t>
  </si>
  <si>
    <t xml:space="preserve">Экспорт (т)</t>
  </si>
  <si>
    <t>Выводы</t>
  </si>
  <si>
    <t>Россия</t>
  </si>
  <si>
    <t>Казахстан</t>
  </si>
  <si>
    <t>США</t>
  </si>
  <si>
    <t>Канада</t>
  </si>
  <si>
    <t>Франция</t>
  </si>
  <si>
    <t>Итого</t>
  </si>
  <si>
    <t>Дата</t>
  </si>
  <si>
    <t>Тематика</t>
  </si>
  <si>
    <t>Название</t>
  </si>
  <si>
    <t>Цена</t>
  </si>
  <si>
    <t>Количество</t>
  </si>
  <si>
    <t>Стоимость</t>
  </si>
  <si>
    <t xml:space="preserve">1 кв.</t>
  </si>
  <si>
    <t>Компьютеры</t>
  </si>
  <si>
    <t xml:space="preserve">Microsoft Excel 2007</t>
  </si>
  <si>
    <t xml:space="preserve">Windows 7</t>
  </si>
  <si>
    <t>Прозы</t>
  </si>
  <si>
    <t xml:space="preserve">Война и мир</t>
  </si>
  <si>
    <t>Экономика</t>
  </si>
  <si>
    <t>Экономист</t>
  </si>
  <si>
    <t xml:space="preserve">2 кв.</t>
  </si>
  <si>
    <t>Проза</t>
  </si>
  <si>
    <t>Ревизор</t>
  </si>
  <si>
    <t>Маркетист</t>
  </si>
  <si>
    <t xml:space="preserve">3 кв.</t>
  </si>
  <si>
    <t xml:space="preserve">4 кв.</t>
  </si>
  <si>
    <t>Summary</t>
  </si>
  <si>
    <t>Месяц</t>
  </si>
  <si>
    <t>Год</t>
  </si>
  <si>
    <t>Продукция</t>
  </si>
  <si>
    <t>Продавец</t>
  </si>
  <si>
    <t>Сбыт</t>
  </si>
  <si>
    <t>Объем</t>
  </si>
  <si>
    <t>Район</t>
  </si>
  <si>
    <t>Январь</t>
  </si>
  <si>
    <t>молоко</t>
  </si>
  <si>
    <t>Петров</t>
  </si>
  <si>
    <t>Железнодорожный</t>
  </si>
  <si>
    <t>Никитин</t>
  </si>
  <si>
    <t>Первомайский</t>
  </si>
  <si>
    <t>Февраль</t>
  </si>
  <si>
    <t>бакалея</t>
  </si>
  <si>
    <t>Марченко</t>
  </si>
  <si>
    <t>Ленинский</t>
  </si>
  <si>
    <t>мясо</t>
  </si>
  <si>
    <t>Октябрьский</t>
  </si>
  <si>
    <t>Сентябрь</t>
  </si>
  <si>
    <t>Март</t>
  </si>
  <si>
    <t>Май</t>
  </si>
  <si>
    <t>Сидоров</t>
  </si>
  <si>
    <t>напитки</t>
  </si>
  <si>
    <t>Апрель</t>
  </si>
  <si>
    <t xml:space="preserve">Sum из Сбыт</t>
  </si>
  <si>
    <t xml:space="preserve">Названия столбцов</t>
  </si>
  <si>
    <t xml:space="preserve">Названия строк</t>
  </si>
  <si>
    <t xml:space="preserve">Общий итог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</si>
</sst>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0.000000"/>
      <color theme="1"/>
      <name val="Liberation Sans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6">
    <xf fontId="0" fillId="0" borderId="0" numFmtId="0" xfId="0"/>
    <xf fontId="0" fillId="0" borderId="0" numFmtId="9" xfId="0" applyNumberFormat="1"/>
    <xf fontId="0" fillId="0" borderId="0" numFmtId="0" xfId="0" applyAlignment="1">
      <alignment horizontal="left"/>
    </xf>
    <xf fontId="0" fillId="0" borderId="0" numFmtId="0" xfId="0"/>
    <xf fontId="0" fillId="0" borderId="0" numFmtId="0" xfId="0"/>
    <xf fontId="0" fillId="0" borderId="0" numFmt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1" Type="http://schemas.openxmlformats.org/officeDocument/2006/relationships/sharedStrings" Target="sharedStrings.xml"/><Relationship  Id="rId10" Type="http://schemas.openxmlformats.org/officeDocument/2006/relationships/theme" Target="theme/theme1.xml"/><Relationship  Id="rId9" Type="http://schemas.openxmlformats.org/officeDocument/2006/relationships/worksheet" Target="worksheets/sheet8.xml"/><Relationship  Id="rId8" Type="http://schemas.openxmlformats.org/officeDocument/2006/relationships/worksheet" Target="worksheets/sheet7.xml"/><Relationship  Id="rId7" Type="http://schemas.openxmlformats.org/officeDocument/2006/relationships/worksheet" Target="worksheets/sheet6.xml"/><Relationship  Id="rId6" Type="http://schemas.openxmlformats.org/officeDocument/2006/relationships/worksheet" Target="worksheets/sheet5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12" Type="http://schemas.openxmlformats.org/officeDocument/2006/relationships/styles" Target="styles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46020"/>
          <c:y val="0.191000"/>
          <c:w val="0.933050"/>
          <c:h val="0.715820"/>
        </c:manualLayout>
      </c:layout>
      <c:pie3DChart>
        <c:varyColors val="1"/>
        <c:ser>
          <c:idx val="0"/>
          <c:order val="0"/>
          <c:tx>
            <c:strRef>
              <c:f>'Лист1'!$A$7</c:f>
              <c:strCache>
                <c:ptCount val="1"/>
                <c:pt idx="0">
                  <c:v>реализовано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1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'Лист1'!$B$6:$E$6</c:f>
              <c:strCache>
                <c:ptCount val="4"/>
                <c:pt idx="0">
                  <c:v xml:space="preserve">1 квартал</c:v>
                </c:pt>
                <c:pt idx="1">
                  <c:v xml:space="preserve">2 квартал</c:v>
                </c:pt>
                <c:pt idx="2">
                  <c:v xml:space="preserve">3 квартал</c:v>
                </c:pt>
                <c:pt idx="3">
                  <c:v xml:space="preserve">4 квартал</c:v>
                </c:pt>
              </c:strCache>
            </c:strRef>
          </c:cat>
          <c:val>
            <c:numRef>
              <c:f>'Лист1'!$B$7:$E$7</c:f>
              <c:numCache>
                <c:formatCode>General</c:formatCode>
                <c:ptCount val="4"/>
                <c:pt idx="0">
                  <c:v>900</c:v>
                </c:pt>
                <c:pt idx="1">
                  <c:v>1200</c:v>
                </c:pt>
                <c:pt idx="2">
                  <c:v>1300</c:v>
                </c:pt>
                <c:pt idx="3">
                  <c:v>1700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0"/>
          <c:showLegendKey val="0"/>
          <c:showPercent val="0"/>
          <c:showSerName val="1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7972423" y="314324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'Лист1'!$A$7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cat>
            <c:strRef>
              <c:f>'Лист1'!$B$6:$E$6</c:f>
            </c:strRef>
          </c:cat>
          <c:val>
            <c:numRef>
              <c:f>'Лист1'!$B$7:$E$7</c:f>
            </c:numRef>
          </c: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marker val="0"/>
        <c:smooth val="0"/>
        <c:axId val="1866169477"/>
        <c:axId val="1866169478"/>
      </c:lineChart>
      <c:catAx>
        <c:axId val="1866169477"/>
        <c:scaling>
          <c:orientation val="minMax"/>
        </c:scaling>
        <c:delete val="0"/>
        <c:axPos val="b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478"/>
        <c:crosses val="autoZero"/>
        <c:auto val="1"/>
        <c:lblAlgn val="ctr"/>
        <c:lblOffset val="100"/>
        <c:noMultiLvlLbl val="0"/>
      </c:catAx>
      <c:valAx>
        <c:axId val="186616947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47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7972423" y="3476624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'Лист1'!$A$7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'Лист1'!$B$6:$E$6</c:f>
            </c:strRef>
          </c:cat>
          <c:val>
            <c:numRef>
              <c:f>'Лист1'!$B$7:$E$7</c:f>
            </c:numRef>
          </c:val>
        </c:ser>
        <c:ser>
          <c:idx val="1"/>
          <c:order val="1"/>
          <c:tx>
            <c:strRef>
              <c:f>'Лист1'!$A$8</c:f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'Лист1'!$B$6:$E$6</c:f>
            </c:strRef>
          </c:cat>
          <c:val>
            <c:numRef>
              <c:f>'Лист1'!$B$8:$E$8</c:f>
            </c:numRef>
          </c:val>
        </c:ser>
        <c:axId val="1866169511"/>
        <c:axId val="1866169512"/>
      </c:barChart>
      <c:lineChart>
        <c:grouping val="standard"/>
        <c:varyColors val="0"/>
        <c:ser>
          <c:idx val="2"/>
          <c:order val="2"/>
          <c:tx>
            <c:strRef>
              <c:f>'Лист1'!$A$9</c:f>
            </c:strRef>
          </c:tx>
          <c:spPr bwMode="auto">
            <a:prstGeom prst="rect">
              <a:avLst/>
            </a:prstGeom>
            <a:solidFill>
              <a:schemeClr val="accent3"/>
            </a:solidFill>
            <a:ln w="28575" cap="rnd">
              <a:solidFill>
                <a:schemeClr val="accent3"/>
              </a:solidFill>
              <a:round/>
            </a:ln>
          </c:spPr>
          <c:marker>
            <c:symbol val="none"/>
          </c:marker>
          <c:cat>
            <c:strRef>
              <c:f>'Лист1'!$B$6:$E$6</c:f>
            </c:strRef>
          </c:cat>
          <c:val>
            <c:numRef>
              <c:f>'Лист1'!$B$9:$E$9</c:f>
            </c:numRef>
          </c:val>
          <c:smooth val="0"/>
        </c:ser>
        <c:marker val="0"/>
        <c:smooth val="0"/>
        <c:axId val="1866169511"/>
        <c:axId val="1866169512"/>
      </c:lineChart>
      <c:catAx>
        <c:axId val="1866169511"/>
        <c:scaling>
          <c:orientation val="minMax"/>
        </c:scaling>
        <c:delete val="0"/>
        <c:axPos val="b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12"/>
        <c:crosses val="autoZero"/>
        <c:auto val="1"/>
        <c:lblAlgn val="ctr"/>
        <c:lblOffset val="100"/>
        <c:noMultiLvlLbl val="0"/>
      </c:catAx>
      <c:valAx>
        <c:axId val="186616951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1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1828799" y="2686049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'Лист1'!$B$6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'Лист1'!$A$7</c:f>
            </c:strRef>
          </c:cat>
          <c:val>
            <c:numRef>
              <c:f>'Лист1'!$B$7</c:f>
            </c:numRef>
          </c:val>
        </c:ser>
        <c:ser>
          <c:idx val="1"/>
          <c:order val="1"/>
          <c:tx>
            <c:strRef>
              <c:f>'Лист1'!$C$6</c:f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'Лист1'!$A$7</c:f>
            </c:strRef>
          </c:cat>
          <c:val>
            <c:numRef>
              <c:f>'Лист1'!$C$7</c:f>
            </c:numRef>
          </c:val>
        </c:ser>
        <c:ser>
          <c:idx val="2"/>
          <c:order val="2"/>
          <c:tx>
            <c:strRef>
              <c:f>'Лист1'!$D$6</c:f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'Лист1'!$A$7</c:f>
            </c:strRef>
          </c:cat>
          <c:val>
            <c:numRef>
              <c:f>'Лист1'!$D$7</c:f>
            </c:numRef>
          </c:val>
        </c:ser>
        <c:ser>
          <c:idx val="3"/>
          <c:order val="3"/>
          <c:tx>
            <c:strRef>
              <c:f>'Лист1'!$E$6</c:f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invertIfNegative val="0"/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'Лист1'!$A$7</c:f>
            </c:strRef>
          </c:cat>
          <c:val>
            <c:numRef>
              <c:f>'Лист1'!$E$7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1866169503"/>
        <c:axId val="1866169504"/>
      </c:barChart>
      <c:catAx>
        <c:axId val="186616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4"/>
        <c:crosses val="autoZero"/>
        <c:auto val="1"/>
        <c:lblAlgn val="ctr"/>
        <c:lblOffset val="100"/>
        <c:noMultiLvlLbl val="0"/>
      </c:catAx>
      <c:valAx>
        <c:axId val="18661695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609599" y="48577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/>
      </c:layout>
      <c:pie3DChart>
        <c:varyColors val="1"/>
        <c:ser>
          <c:idx val="0"/>
          <c:order val="0"/>
          <c:tx>
            <c:strRef>
              <c:f>'Лист1'!$A$7</c:f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'Лист1'!$B$6:$E$6</c:f>
            </c:strRef>
          </c:cat>
          <c:val>
            <c:numRef>
              <c:f>'Лист1'!$B$7:$E$7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7924799" y="647699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Сведения о производстве зерна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/>
      </c:layout>
      <c:bar3DChart>
        <c:barDir val="col"/>
        <c:grouping val="standar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 xml:space="preserve">'Производство зерна'!$C$2:$H$6</c:f>
            </c:strRef>
          </c:cat>
          <c:val>
            <c:numRef>
              <c:f xml:space="preserve">'Производство зерна'!$C$7:$H$7</c:f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gapWidth val="150"/>
        <c:shape val="box"/>
        <c:axId val="1866169547"/>
        <c:axId val="1866169548"/>
        <c:axId val="1866169549"/>
      </c:bar3DChart>
      <c:catAx>
        <c:axId val="18661695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48"/>
        <c:crosses val="autoZero"/>
        <c:auto val="1"/>
        <c:lblAlgn val="ctr"/>
        <c:lblOffset val="100"/>
        <c:noMultiLvlLbl val="0"/>
      </c:catAx>
      <c:valAx>
        <c:axId val="186616954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47"/>
        <c:crosses val="autoZero"/>
        <c:crossBetween val="between"/>
      </c:valAx>
      <c:serAx>
        <c:axId val="186616954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47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1828799" y="8096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 xml:space="preserve">'Производство зерна'!$D$2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val>
            <c:numRef>
              <c:f xml:space="preserve">'Производство зерна'!$D$3:$D$7</c:f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gapWidth val="219"/>
        <c:overlap val="-26"/>
        <c:axId val="1866169565"/>
        <c:axId val="1866169566"/>
      </c:barChart>
      <c:catAx>
        <c:axId val="18661695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66"/>
        <c:crosses val="autoZero"/>
        <c:auto val="1"/>
        <c:lblAlgn val="ctr"/>
        <c:lblOffset val="100"/>
        <c:noMultiLvlLbl val="0"/>
      </c:catAx>
      <c:valAx>
        <c:axId val="186616956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6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534399" y="809624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Площади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 xml:space="preserve">'Производство зерна'!$C$2</c:f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1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1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 xml:space="preserve">'Производство зерна'!$B$3:$B$7</c:f>
            </c:strRef>
          </c:cat>
          <c:val>
            <c:numRef>
              <c:f xml:space="preserve">'Производство зерна'!$C$3:$C$7</c:f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0"/>
          <c:showLegendKey val="0"/>
          <c:showPercent val="0"/>
          <c:showSerName val="1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1828799" y="4210049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bar"/>
        <c:grouping val="clustered"/>
        <c:varyColors val="0"/>
        <c:ser>
          <c:idx val="0"/>
          <c:order val="0"/>
          <c:tx>
            <c:strRef>
              <c:f xml:space="preserve">'Производство зерна'!$B$3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 xml:space="preserve">'Производство зерна'!$C$2:$G$2</c:f>
            </c:strRef>
          </c:cat>
          <c:val>
            <c:numRef>
              <c:f xml:space="preserve">'Производство зерна'!$C$3:$G$3</c:f>
            </c:numRef>
          </c:val>
        </c:ser>
        <c:ser>
          <c:idx val="1"/>
          <c:order val="1"/>
          <c:tx>
            <c:strRef>
              <c:f xml:space="preserve">'Производство зерна'!$B$4</c:f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 xml:space="preserve">'Производство зерна'!$C$2:$G$2</c:f>
            </c:strRef>
          </c:cat>
          <c:val>
            <c:numRef>
              <c:f xml:space="preserve">'Производство зерна'!$C$4:$G$4</c:f>
            </c:numRef>
          </c:val>
        </c:ser>
        <c:ser>
          <c:idx val="2"/>
          <c:order val="2"/>
          <c:tx>
            <c:strRef>
              <c:f xml:space="preserve">'Производство зерна'!$B$5</c:f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 xml:space="preserve">'Производство зерна'!$C$2:$G$2</c:f>
            </c:strRef>
          </c:cat>
          <c:val>
            <c:numRef>
              <c:f xml:space="preserve">'Производство зерна'!$C$5:$G$5</c:f>
            </c:numRef>
          </c:val>
        </c:ser>
        <c:ser>
          <c:idx val="3"/>
          <c:order val="3"/>
          <c:tx>
            <c:strRef>
              <c:f xml:space="preserve">'Производство зерна'!$B$6</c:f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invertIfNegative val="0"/>
          <c:cat>
            <c:strRef>
              <c:f xml:space="preserve">'Производство зерна'!$C$2:$G$2</c:f>
            </c:strRef>
          </c:cat>
          <c:val>
            <c:numRef>
              <c:f xml:space="preserve">'Производство зерна'!$C$6:$G$6</c:f>
            </c:numRef>
          </c:val>
        </c:ser>
        <c:ser>
          <c:idx val="4"/>
          <c:order val="4"/>
          <c:tx>
            <c:strRef>
              <c:f xml:space="preserve">'Производство зерна'!$B$7</c:f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invertIfNegative val="0"/>
          <c:cat>
            <c:strRef>
              <c:f xml:space="preserve">'Производство зерна'!$C$2:$G$2</c:f>
            </c:strRef>
          </c:cat>
          <c:val>
            <c:numRef>
              <c:f xml:space="preserve">'Производство зерна'!$C$7:$G$7</c:f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gapWidth val="182"/>
        <c:axId val="1866169607"/>
        <c:axId val="1866169608"/>
      </c:barChart>
      <c:catAx>
        <c:axId val="1866169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608"/>
        <c:crosses val="autoZero"/>
        <c:auto val="1"/>
        <c:lblAlgn val="ctr"/>
        <c:lblOffset val="100"/>
        <c:noMultiLvlLbl val="0"/>
      </c:catAx>
      <c:valAx>
        <c:axId val="18661696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60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534399" y="4210049"/>
      <a:ext cx="4552948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Relationship Id="rId2" Type="http://schemas.openxmlformats.org/officeDocument/2006/relationships/chart" Target="../charts/chart5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Relationship Id="rId3" Type="http://schemas.openxmlformats.org/officeDocument/2006/relationships/chart" Target="../charts/chart8.xml" /><Relationship Id="rId4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542924</xdr:colOff>
      <xdr:row>1</xdr:row>
      <xdr:rowOff>152399</xdr:rowOff>
    </xdr:from>
    <xdr:to>
      <xdr:col>17</xdr:col>
      <xdr:colOff>228599</xdr:colOff>
      <xdr:row>18</xdr:row>
      <xdr:rowOff>123824</xdr:rowOff>
    </xdr:to>
    <xdr:graphicFrame>
      <xdr:nvGraphicFramePr>
        <xdr:cNvPr id="2031187858" name=""/>
        <xdr:cNvGraphicFramePr>
          <a:graphicFrameLocks xmlns:a="http://schemas.openxmlformats.org/drawingml/2006/main"/>
        </xdr:cNvGraphicFramePr>
      </xdr:nvGraphicFramePr>
      <xdr:xfrm>
        <a:off x="7972423" y="314324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10</xdr:col>
      <xdr:colOff>542924</xdr:colOff>
      <xdr:row>21</xdr:row>
      <xdr:rowOff>76199</xdr:rowOff>
    </xdr:from>
    <xdr:to>
      <xdr:col>17</xdr:col>
      <xdr:colOff>228599</xdr:colOff>
      <xdr:row>38</xdr:row>
      <xdr:rowOff>47623</xdr:rowOff>
    </xdr:to>
    <xdr:graphicFrame>
      <xdr:nvGraphicFramePr>
        <xdr:cNvPr id="1532969695" name=""/>
        <xdr:cNvGraphicFramePr>
          <a:graphicFrameLocks xmlns:a="http://schemas.openxmlformats.org/drawingml/2006/main"/>
        </xdr:cNvGraphicFramePr>
      </xdr:nvGraphicFramePr>
      <xdr:xfrm>
        <a:off x="7972423" y="3476624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657224</xdr:colOff>
      <xdr:row>16</xdr:row>
      <xdr:rowOff>95249</xdr:rowOff>
    </xdr:from>
    <xdr:to>
      <xdr:col>8</xdr:col>
      <xdr:colOff>342899</xdr:colOff>
      <xdr:row>33</xdr:row>
      <xdr:rowOff>66674</xdr:rowOff>
    </xdr:to>
    <xdr:graphicFrame>
      <xdr:nvGraphicFramePr>
        <xdr:cNvPr id="882011034" name=""/>
        <xdr:cNvGraphicFramePr>
          <a:graphicFrameLocks xmlns:a="http://schemas.openxmlformats.org/drawingml/2006/main"/>
        </xdr:cNvGraphicFramePr>
      </xdr:nvGraphicFramePr>
      <xdr:xfrm>
        <a:off x="1828799" y="2686049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609599</xdr:colOff>
      <xdr:row>2</xdr:row>
      <xdr:rowOff>161924</xdr:rowOff>
    </xdr:from>
    <xdr:to>
      <xdr:col>8</xdr:col>
      <xdr:colOff>285748</xdr:colOff>
      <xdr:row>19</xdr:row>
      <xdr:rowOff>133347</xdr:rowOff>
    </xdr:to>
    <xdr:graphicFrame>
      <xdr:nvGraphicFramePr>
        <xdr:cNvPr id="1274809142" name=""/>
        <xdr:cNvGraphicFramePr>
          <a:graphicFrameLocks xmlns:a="http://schemas.openxmlformats.org/drawingml/2006/main"/>
        </xdr:cNvGraphicFramePr>
      </xdr:nvGraphicFramePr>
      <xdr:xfrm>
        <a:off x="609599" y="48577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12</xdr:col>
      <xdr:colOff>609599</xdr:colOff>
      <xdr:row>3</xdr:row>
      <xdr:rowOff>161924</xdr:rowOff>
    </xdr:from>
    <xdr:to>
      <xdr:col>20</xdr:col>
      <xdr:colOff>285748</xdr:colOff>
      <xdr:row>20</xdr:row>
      <xdr:rowOff>133347</xdr:rowOff>
    </xdr:to>
    <xdr:graphicFrame>
      <xdr:nvGraphicFramePr>
        <xdr:cNvPr id="1341834586" name=""/>
        <xdr:cNvGraphicFramePr>
          <a:graphicFrameLocks xmlns:a="http://schemas.openxmlformats.org/drawingml/2006/main"/>
        </xdr:cNvGraphicFramePr>
      </xdr:nvGraphicFramePr>
      <xdr:xfrm>
        <a:off x="7924799" y="647699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609599</xdr:colOff>
      <xdr:row>4</xdr:row>
      <xdr:rowOff>161924</xdr:rowOff>
    </xdr:from>
    <xdr:to>
      <xdr:col>10</xdr:col>
      <xdr:colOff>285748</xdr:colOff>
      <xdr:row>21</xdr:row>
      <xdr:rowOff>133348</xdr:rowOff>
    </xdr:to>
    <xdr:graphicFrame>
      <xdr:nvGraphicFramePr>
        <xdr:cNvPr id="1673373178" name=""/>
        <xdr:cNvGraphicFramePr>
          <a:graphicFrameLocks xmlns:a="http://schemas.openxmlformats.org/drawingml/2006/main"/>
        </xdr:cNvGraphicFramePr>
      </xdr:nvGraphicFramePr>
      <xdr:xfrm>
        <a:off x="1828799" y="80962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13</xdr:col>
      <xdr:colOff>609599</xdr:colOff>
      <xdr:row>4</xdr:row>
      <xdr:rowOff>161924</xdr:rowOff>
    </xdr:from>
    <xdr:to>
      <xdr:col>21</xdr:col>
      <xdr:colOff>285748</xdr:colOff>
      <xdr:row>21</xdr:row>
      <xdr:rowOff>133348</xdr:rowOff>
    </xdr:to>
    <xdr:graphicFrame>
      <xdr:nvGraphicFramePr>
        <xdr:cNvPr id="1399557363" name=""/>
        <xdr:cNvGraphicFramePr>
          <a:graphicFrameLocks xmlns:a="http://schemas.openxmlformats.org/drawingml/2006/main"/>
        </xdr:cNvGraphicFramePr>
      </xdr:nvGraphicFramePr>
      <xdr:xfrm>
        <a:off x="8534399" y="809624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2</xdr:col>
      <xdr:colOff>609599</xdr:colOff>
      <xdr:row>25</xdr:row>
      <xdr:rowOff>161924</xdr:rowOff>
    </xdr:from>
    <xdr:to>
      <xdr:col>10</xdr:col>
      <xdr:colOff>285748</xdr:colOff>
      <xdr:row>42</xdr:row>
      <xdr:rowOff>133348</xdr:rowOff>
    </xdr:to>
    <xdr:graphicFrame>
      <xdr:nvGraphicFramePr>
        <xdr:cNvPr id="630313870" name=""/>
        <xdr:cNvGraphicFramePr>
          <a:graphicFrameLocks xmlns:a="http://schemas.openxmlformats.org/drawingml/2006/main"/>
        </xdr:cNvGraphicFramePr>
      </xdr:nvGraphicFramePr>
      <xdr:xfrm>
        <a:off x="1828799" y="4210049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13</xdr:col>
      <xdr:colOff>609599</xdr:colOff>
      <xdr:row>25</xdr:row>
      <xdr:rowOff>161924</xdr:rowOff>
    </xdr:from>
    <xdr:to>
      <xdr:col>21</xdr:col>
      <xdr:colOff>285748</xdr:colOff>
      <xdr:row>42</xdr:row>
      <xdr:rowOff>133348</xdr:rowOff>
    </xdr:to>
    <xdr:graphicFrame>
      <xdr:nvGraphicFramePr>
        <xdr:cNvPr id="2066058324" name=""/>
        <xdr:cNvGraphicFramePr>
          <a:graphicFrameLocks xmlns:a="http://schemas.openxmlformats.org/drawingml/2006/main"/>
        </xdr:cNvGraphicFramePr>
      </xdr:nvGraphicFramePr>
      <xdr:xfrm>
        <a:off x="8534399" y="4210049"/>
        <a:ext cx="4552948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">
  <cacheSource type="worksheet">
    <worksheetSource ref="A1:G12" sheet="Исходные данные"/>
  </cacheSource>
  <cacheFields count="7">
    <cacheField name="Месяц" numFmtId="0">
      <sharedItems count="6">
        <s v="Январь"/>
        <s v="Февраль"/>
        <s v="Сентябрь"/>
        <s v="Март"/>
        <s v="Май"/>
        <s v="Апрель"/>
      </sharedItems>
    </cacheField>
    <cacheField name="Год">
      <sharedItems containsSemiMixedTypes="0" containsString="0" containsNumber="1" containsInteger="1" minValue="2010" maxValue="2010" count="1">
        <n v="2010"/>
      </sharedItems>
    </cacheField>
    <cacheField name="Продукция" numFmtId="0">
      <sharedItems count="4">
        <s v="молоко"/>
        <s v="бакалея"/>
        <s v="мясо"/>
        <s v="напитки"/>
      </sharedItems>
    </cacheField>
    <cacheField name="Продавец" numFmtId="0">
      <sharedItems count="4">
        <s v="Петров"/>
        <s v="Никитин"/>
        <s v="Марченко"/>
        <s v="Сидоров"/>
      </sharedItems>
    </cacheField>
    <cacheField name="Сбыт">
      <sharedItems containsSemiMixedTypes="0" containsString="0" containsNumber="1" containsInteger="1" minValue="1546" maxValue="9465"/>
    </cacheField>
    <cacheField name="Объем">
      <sharedItems containsSemiMixedTypes="0" containsString="0" containsNumber="1" containsInteger="1" minValue="2678" maxValue="9970"/>
    </cacheField>
    <cacheField name="Район" numFmtId="0">
      <sharedItems count="4">
        <s v="Железнодорожный"/>
        <s v="Первомайский"/>
        <s v="Ленинский"/>
        <s v="Октябрьский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">
  <r>
    <x v="0"/>
    <x v="0"/>
    <x v="0"/>
    <x v="0"/>
    <n v="4366"/>
    <n v="5689"/>
    <x v="0"/>
  </r>
  <r>
    <x v="0"/>
    <x v="0"/>
    <x v="0"/>
    <x v="1"/>
    <n v="2869"/>
    <n v="5678"/>
    <x v="1"/>
  </r>
  <r>
    <x v="0"/>
    <x v="0"/>
    <x v="0"/>
    <x v="0"/>
    <n v="2487"/>
    <n v="3571"/>
    <x v="0"/>
  </r>
  <r>
    <x v="1"/>
    <x v="0"/>
    <x v="1"/>
    <x v="2"/>
    <n v="6712"/>
    <n v="2678"/>
    <x v="2"/>
  </r>
  <r>
    <x v="1"/>
    <x v="0"/>
    <x v="2"/>
    <x v="0"/>
    <n v="9437"/>
    <n v="3470"/>
    <x v="3"/>
  </r>
  <r>
    <x v="2"/>
    <x v="0"/>
    <x v="1"/>
    <x v="2"/>
    <n v="8912"/>
    <n v="9710"/>
    <x v="0"/>
  </r>
  <r>
    <x v="3"/>
    <x v="0"/>
    <x v="2"/>
    <x v="0"/>
    <n v="2943"/>
    <n v="3744"/>
    <x v="1"/>
  </r>
  <r>
    <x v="4"/>
    <x v="0"/>
    <x v="1"/>
    <x v="3"/>
    <n v="1546"/>
    <n v="2734"/>
    <x v="1"/>
  </r>
  <r>
    <x v="4"/>
    <x v="0"/>
    <x v="3"/>
    <x v="3"/>
    <n v="8934"/>
    <n v="6715"/>
    <x v="3"/>
  </r>
  <r>
    <x v="5"/>
    <x v="0"/>
    <x v="3"/>
    <x v="2"/>
    <n v="4870"/>
    <n v="6248"/>
    <x v="1"/>
  </r>
  <r>
    <x v="5"/>
    <x v="0"/>
    <x v="3"/>
    <x v="1"/>
    <n v="9465"/>
    <n v="9970"/>
    <x v="3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0" applyNumberFormats="0" applyBorderFormats="0" applyFontFormats="0" applyPatternFormats="0" applyAlignmentFormats="0" applyWidthHeightFormats="1" dataCaption="Значения" updatedVersion="4" minRefreshableVersion="3" useAutoFormatting="1" itemPrintTitles="1" createdVersion="4" indent="0" outline="1" outlineData="1" multipleFieldFilters="0">
  <location ref="A3:F9" firstHeaderRow="1" firstDataRow="2" firstDataCol="1"/>
  <pivotFields count="7">
    <pivotField showAll="0"/>
    <pivotField showAll="0">
      <items count="2">
        <item x="0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dataField="1" showAll="0"/>
    <pivotField showAll="0"/>
    <pivotField axis="axisCol" showAll="0">
      <items count="5">
        <item x="0"/>
        <item x="2"/>
        <item x="3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Sum of Сбыт" fld="4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xmlns:r="http://schemas.openxmlformats.org/officeDocument/2006/relationships" name="PivotTable2" cacheId="0" applyNumberFormats="0" applyBorderFormats="0" applyFontFormats="0" applyPatternFormats="0" applyAlignmentFormats="0" applyWidthHeightFormats="1" dataCaption="Значения" updatedVersion="4" minRefreshableVersion="3" useAutoFormatting="1" itemPrintTitles="1" createdVersion="4" indent="0" outline="1" outlineData="1" multipleFieldFilters="0">
  <location ref="A1:F9" firstHeaderRow="1" firstDataRow="2" firstDataCol="1"/>
  <pivotFields count="7">
    <pivotField axis="axisRow" showAll="0">
      <items count="7">
        <item x="5"/>
        <item x="4"/>
        <item x="3"/>
        <item x="2"/>
        <item x="1"/>
        <item x="0"/>
        <item t="default"/>
      </items>
    </pivotField>
    <pivotField showAll="0"/>
    <pivotField axis="axisCol" showAll="0">
      <items count="5">
        <item x="1"/>
        <item x="0"/>
        <item x="2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Сбыт" fld="4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Таблица1" ref="A1:F17" totalsRowCount="1">
  <autoFilter ref="A1:F16">
    <filterColumn colId="2"/>
    <filterColumn colId="3">
      <customFilters and="1">
        <customFilter operator="greaterThanOrEqual" val="300"/>
        <customFilter operator="lessThan" val="800"/>
      </customFilters>
    </filterColumn>
    <filterColumn colId="1">
      <customFilters and="1">
        <customFilter operator="equal" val="К*"/>
      </customFilters>
    </filterColumn>
  </autoFilter>
  <sortState ref="A2:F16" columnSort="0">
    <sortCondition sortBy="value" descending="0" ref="A2:A16"/>
    <sortCondition sortBy="value" descending="0" ref="B2:B16"/>
  </sortState>
  <tableColumns count="6">
    <tableColumn id="1" name="Дата" totalsRowLabel="Summary"/>
    <tableColumn id="2" name="Тематика" totalsRowLabel="Summary"/>
    <tableColumn id="3" name="Название" totalsRowLabel="Summary"/>
    <tableColumn id="4" name="Цена" totalsRowFunction="average"/>
    <tableColumn id="5" name="Количество" totalsRowFunction="min"/>
    <tableColumn id="6" name="Стоимость" totalsRowFunction="sum"/>
  </tableColumns>
  <tableStyleInfo name="TableStyleMedium2" showFirstColumn="0" showLastColumn="0" showRowStripes="1" showColumnStripes="0"/>
  <extLst>
    <ext xmlns:x14="http://schemas.microsoft.com/office/spreadsheetml/2009/9/main" uri="{504A1905-F514-4f6f-8877-14C23A59335A}">
      <x14:table altText="База данных" altTextSummary=""/>
    </ext>
  </extLst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" zoomScale="100" workbookViewId="0">
      <selection activeCell="A1" activeCellId="0" sqref="A1"/>
    </sheetView>
  </sheetViews>
  <sheetFormatPr baseColWidth="10" defaultColWidth="10.5" defaultRowHeight="12.75"/>
  <cols>
    <col customWidth="1" min="1" max="1" width="17.57421875"/>
  </cols>
  <sheetData>
    <row r="1" ht="12.75">
      <c r="B1" t="s">
        <v>0</v>
      </c>
    </row>
    <row r="3" ht="12.75">
      <c r="A3" t="s">
        <v>1</v>
      </c>
      <c r="B3">
        <v>350</v>
      </c>
    </row>
    <row r="4" ht="12.75">
      <c r="A4" t="s">
        <v>2</v>
      </c>
      <c r="B4">
        <v>80</v>
      </c>
    </row>
    <row r="5" ht="12.75">
      <c r="A5" t="s">
        <v>3</v>
      </c>
      <c r="B5" s="1">
        <v>0.45000000000000001</v>
      </c>
    </row>
    <row r="6" ht="12.75">
      <c r="B6" t="s">
        <v>4</v>
      </c>
      <c r="C6" t="s">
        <v>5</v>
      </c>
      <c r="D6" t="s">
        <v>6</v>
      </c>
      <c r="E6" t="s">
        <v>7</v>
      </c>
      <c r="F6" t="s">
        <v>8</v>
      </c>
    </row>
    <row r="7" ht="12.75">
      <c r="A7" t="s">
        <v>9</v>
      </c>
      <c r="B7">
        <v>900</v>
      </c>
      <c r="C7">
        <v>1200</v>
      </c>
      <c r="D7">
        <v>1300</v>
      </c>
      <c r="E7">
        <v>1700</v>
      </c>
      <c r="F7">
        <v>5100</v>
      </c>
    </row>
    <row r="8" ht="12.75">
      <c r="A8" t="s">
        <v>10</v>
      </c>
      <c r="B8">
        <f>$B$3*B7</f>
        <v>315000</v>
      </c>
      <c r="C8">
        <f>$B$3*C7</f>
        <v>420000</v>
      </c>
      <c r="D8">
        <f>$B$3*D7</f>
        <v>455000</v>
      </c>
      <c r="E8">
        <f>$B$3*E7</f>
        <v>595000</v>
      </c>
      <c r="F8">
        <f>$B$3*F7</f>
        <v>1785000</v>
      </c>
    </row>
    <row r="9" ht="12.75">
      <c r="A9" t="s">
        <v>11</v>
      </c>
      <c r="B9">
        <f>(1-$B$5)*B8</f>
        <v>173250</v>
      </c>
      <c r="C9">
        <f>(1-$B$5)*C8</f>
        <v>231000.00000000003</v>
      </c>
      <c r="D9">
        <f>(1-$B$5)*D8</f>
        <v>250250.00000000003</v>
      </c>
      <c r="E9">
        <f>(1-$B$5)*E8</f>
        <v>327250</v>
      </c>
      <c r="F9">
        <f>(1-$B$5)*F8</f>
        <v>981750.00000000012</v>
      </c>
    </row>
    <row r="10" ht="12.75">
      <c r="A10" t="s">
        <v>12</v>
      </c>
      <c r="B10">
        <f>$B$4*B7</f>
        <v>72000</v>
      </c>
      <c r="C10">
        <f>$B$4*C7</f>
        <v>96000</v>
      </c>
      <c r="D10">
        <f>$B$4*D7</f>
        <v>104000</v>
      </c>
      <c r="E10">
        <f>$B$4*E7</f>
        <v>136000</v>
      </c>
      <c r="F10">
        <f>$B$4*F7</f>
        <v>408000</v>
      </c>
    </row>
    <row r="12" ht="12.75">
      <c r="A12" t="s">
        <v>13</v>
      </c>
      <c r="B12">
        <f>B8-(B9+B10)</f>
        <v>69750</v>
      </c>
      <c r="C12">
        <f>C8-(C9+C10)</f>
        <v>93000</v>
      </c>
      <c r="D12">
        <f>D8-(D9+D10)</f>
        <v>100750</v>
      </c>
      <c r="E12">
        <f>E8-(E9+E10)</f>
        <v>131750</v>
      </c>
      <c r="F12">
        <f>F8-(F9+F10)</f>
        <v>395250</v>
      </c>
    </row>
  </sheetData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customWidth="1" min="2" max="2" width="10.140625"/>
    <col customWidth="1" min="3" max="3" width="20.28125"/>
    <col customWidth="1" min="4" max="4" width="17.140625"/>
    <col customWidth="1" min="5" max="5" width="15.57421875"/>
    <col customWidth="1" min="6" max="6" width="26.00390625"/>
    <col customWidth="1" min="7" max="7" width="10.421875"/>
    <col customWidth="1" min="8" max="8" width="26.140625"/>
  </cols>
  <sheetData>
    <row r="1" ht="12.75">
      <c r="A1" s="2" t="s">
        <v>14</v>
      </c>
      <c r="B1" s="2"/>
      <c r="C1" s="2"/>
      <c r="D1" s="2"/>
      <c r="E1" s="2"/>
      <c r="F1" s="2"/>
      <c r="G1" s="2"/>
    </row>
    <row r="2" ht="12.75">
      <c r="A2" t="s">
        <v>15</v>
      </c>
      <c r="B2" t="s">
        <v>16</v>
      </c>
      <c r="C2" t="s">
        <v>17</v>
      </c>
      <c r="D2" t="s">
        <v>18</v>
      </c>
      <c r="E2" s="3" t="s">
        <v>19</v>
      </c>
      <c r="F2" s="3" t="s">
        <v>20</v>
      </c>
      <c r="G2" s="3" t="s">
        <v>21</v>
      </c>
      <c r="H2" t="s">
        <v>22</v>
      </c>
    </row>
    <row r="3" ht="12.75">
      <c r="A3">
        <v>1</v>
      </c>
      <c r="B3" t="s">
        <v>23</v>
      </c>
      <c r="C3">
        <v>50000</v>
      </c>
      <c r="D3">
        <v>3.5</v>
      </c>
      <c r="E3" s="3">
        <f>C3*D3*80%</f>
        <v>140000</v>
      </c>
      <c r="F3" s="3">
        <f>E3*60%</f>
        <v>84000</v>
      </c>
      <c r="G3" s="3">
        <f>(E3-F3)*70%</f>
        <v>39200</v>
      </c>
      <c r="H3">
        <f>IF(G3&gt;F3,"Международный поставщик",0)</f>
        <v>0</v>
      </c>
    </row>
    <row r="4" ht="12.75">
      <c r="A4">
        <v>2</v>
      </c>
      <c r="B4" t="s">
        <v>24</v>
      </c>
      <c r="C4">
        <v>35000</v>
      </c>
      <c r="D4">
        <v>4.7000000000000002</v>
      </c>
      <c r="E4" s="3">
        <f>C4*D4*80%</f>
        <v>131600</v>
      </c>
      <c r="F4" s="3">
        <f>E4*60%</f>
        <v>78960</v>
      </c>
      <c r="G4" s="3">
        <f>(E4-F4)*70%</f>
        <v>36848</v>
      </c>
      <c r="H4">
        <f>IF(G4&gt;F4,"Международный поставщик",0)</f>
        <v>0</v>
      </c>
    </row>
    <row r="5" ht="12.75">
      <c r="A5">
        <v>3</v>
      </c>
      <c r="B5" t="s">
        <v>25</v>
      </c>
      <c r="C5">
        <v>40000</v>
      </c>
      <c r="D5">
        <v>5</v>
      </c>
      <c r="E5" s="3">
        <f>C5*D5*80%</f>
        <v>160000</v>
      </c>
      <c r="F5" s="3">
        <f>E5*40%</f>
        <v>64000</v>
      </c>
      <c r="G5" s="3">
        <f>(E5-F5)*70%</f>
        <v>67200</v>
      </c>
      <c r="H5" t="str">
        <f>IF(G5&gt;F5,"Международный поставщик",0)</f>
        <v xml:space="preserve">Международный поставщик</v>
      </c>
    </row>
    <row r="6" ht="12.75">
      <c r="A6">
        <v>4</v>
      </c>
      <c r="B6" t="s">
        <v>26</v>
      </c>
      <c r="C6">
        <v>20000</v>
      </c>
      <c r="D6">
        <v>4.5</v>
      </c>
      <c r="E6" s="3">
        <f>C6*D6*80%</f>
        <v>72000</v>
      </c>
      <c r="F6" s="3">
        <f>E6*40%</f>
        <v>28800</v>
      </c>
      <c r="G6" s="3">
        <f>(E6-F6)*70%</f>
        <v>30239.999999999996</v>
      </c>
      <c r="H6" t="str">
        <f>IF(G6&gt;F6,"Международный поставщик",0)</f>
        <v xml:space="preserve">Международный поставщик</v>
      </c>
    </row>
    <row r="7" ht="12.75">
      <c r="A7">
        <v>5</v>
      </c>
      <c r="B7" t="s">
        <v>27</v>
      </c>
      <c r="C7">
        <v>20000</v>
      </c>
      <c r="D7">
        <v>3</v>
      </c>
      <c r="E7" s="3">
        <f>C7*D7*80%</f>
        <v>48000</v>
      </c>
      <c r="F7" s="3">
        <f>E7*40%</f>
        <v>19200</v>
      </c>
      <c r="G7" s="3">
        <f>(E7-F7)*70%</f>
        <v>20160</v>
      </c>
      <c r="H7" t="str">
        <f>IF(G7&gt;F7,"Международный поставщик",0)</f>
        <v xml:space="preserve">Международный поставщик</v>
      </c>
    </row>
    <row r="8" ht="12.75">
      <c r="B8" t="s">
        <v>28</v>
      </c>
      <c r="C8">
        <f>SUM(C3:C7)</f>
        <v>165000</v>
      </c>
      <c r="E8" s="3">
        <f>SUM(E3:E7)</f>
        <v>551600</v>
      </c>
      <c r="F8" s="3">
        <f>SUM(F3:F7)</f>
        <v>274960</v>
      </c>
      <c r="G8" s="3">
        <f>SUM(G3:G7)</f>
        <v>193648</v>
      </c>
      <c r="H8">
        <f>IF(G8&gt;F8,"Международный поставщик",0)</f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2" max="2" width="12.421875"/>
    <col customWidth="1" min="3" max="3" width="18.57421875"/>
    <col bestFit="1" customWidth="1" min="5" max="5" width="14.140625"/>
    <col bestFit="1" customWidth="1" min="6" max="6" width="13.57421875"/>
  </cols>
  <sheetData>
    <row r="1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</row>
    <row r="2" hidden="1">
      <c r="A2" t="s">
        <v>35</v>
      </c>
      <c r="B2" t="s">
        <v>36</v>
      </c>
      <c r="C2" t="s">
        <v>37</v>
      </c>
      <c r="D2">
        <v>270</v>
      </c>
      <c r="E2">
        <v>100</v>
      </c>
      <c r="F2">
        <f>D2*E2</f>
        <v>27000</v>
      </c>
    </row>
    <row r="3">
      <c r="A3" t="s">
        <v>35</v>
      </c>
      <c r="B3" t="s">
        <v>36</v>
      </c>
      <c r="C3" t="s">
        <v>38</v>
      </c>
      <c r="D3">
        <v>600</v>
      </c>
      <c r="E3">
        <v>100</v>
      </c>
      <c r="F3">
        <f>D3*E3</f>
        <v>60000</v>
      </c>
    </row>
    <row r="4" hidden="1">
      <c r="A4" s="4" t="s">
        <v>35</v>
      </c>
      <c r="B4" t="s">
        <v>39</v>
      </c>
      <c r="C4" t="s">
        <v>40</v>
      </c>
      <c r="D4">
        <v>300</v>
      </c>
      <c r="E4">
        <v>80</v>
      </c>
      <c r="F4">
        <f>D4*E4</f>
        <v>24000</v>
      </c>
    </row>
    <row r="5" hidden="1">
      <c r="A5" s="4" t="s">
        <v>35</v>
      </c>
      <c r="B5" t="s">
        <v>41</v>
      </c>
      <c r="C5" t="s">
        <v>42</v>
      </c>
      <c r="D5">
        <v>1000</v>
      </c>
      <c r="E5">
        <v>90</v>
      </c>
      <c r="F5">
        <f>D5*E5</f>
        <v>90000</v>
      </c>
    </row>
    <row r="6" hidden="1">
      <c r="A6" s="4" t="s">
        <v>43</v>
      </c>
      <c r="B6" t="s">
        <v>36</v>
      </c>
      <c r="C6" t="s">
        <v>37</v>
      </c>
      <c r="D6">
        <v>270</v>
      </c>
      <c r="E6">
        <v>70</v>
      </c>
      <c r="F6">
        <f>D6*E6</f>
        <v>18900</v>
      </c>
    </row>
    <row r="7" hidden="1">
      <c r="A7" t="s">
        <v>43</v>
      </c>
      <c r="B7" t="s">
        <v>44</v>
      </c>
      <c r="C7" t="s">
        <v>45</v>
      </c>
      <c r="D7">
        <v>200</v>
      </c>
      <c r="E7">
        <v>70</v>
      </c>
      <c r="F7">
        <f>D7*E7</f>
        <v>14000</v>
      </c>
    </row>
    <row r="8" hidden="1">
      <c r="A8" s="4" t="s">
        <v>43</v>
      </c>
      <c r="B8" t="s">
        <v>41</v>
      </c>
      <c r="C8" t="s">
        <v>46</v>
      </c>
      <c r="D8">
        <v>800</v>
      </c>
      <c r="E8">
        <v>80</v>
      </c>
      <c r="F8">
        <f>D8*E8</f>
        <v>64000</v>
      </c>
    </row>
    <row r="9" hidden="1">
      <c r="A9" t="s">
        <v>43</v>
      </c>
      <c r="B9" t="s">
        <v>41</v>
      </c>
      <c r="C9" t="s">
        <v>42</v>
      </c>
      <c r="D9">
        <v>1000</v>
      </c>
      <c r="E9">
        <v>80</v>
      </c>
      <c r="F9">
        <f>D9*E9</f>
        <v>80000</v>
      </c>
    </row>
    <row r="10">
      <c r="A10" s="4" t="s">
        <v>47</v>
      </c>
      <c r="B10" t="s">
        <v>36</v>
      </c>
      <c r="C10" t="s">
        <v>38</v>
      </c>
      <c r="D10">
        <v>600</v>
      </c>
      <c r="E10">
        <v>80</v>
      </c>
      <c r="F10">
        <f>D10*E10</f>
        <v>48000</v>
      </c>
    </row>
    <row r="11" hidden="1">
      <c r="A11" s="4" t="s">
        <v>47</v>
      </c>
      <c r="B11" t="s">
        <v>44</v>
      </c>
      <c r="C11" t="s">
        <v>40</v>
      </c>
      <c r="D11">
        <v>300</v>
      </c>
      <c r="E11">
        <v>40</v>
      </c>
      <c r="F11">
        <f>D11*E11</f>
        <v>12000</v>
      </c>
    </row>
    <row r="12" hidden="1">
      <c r="A12" t="s">
        <v>47</v>
      </c>
      <c r="B12" t="s">
        <v>39</v>
      </c>
      <c r="C12" t="s">
        <v>45</v>
      </c>
      <c r="D12">
        <v>200</v>
      </c>
      <c r="E12">
        <v>90</v>
      </c>
      <c r="F12">
        <f>D12*E12</f>
        <v>18000</v>
      </c>
    </row>
    <row r="13" hidden="1">
      <c r="A13" t="s">
        <v>47</v>
      </c>
      <c r="B13" s="4" t="s">
        <v>41</v>
      </c>
      <c r="C13" t="s">
        <v>42</v>
      </c>
      <c r="D13">
        <v>1000</v>
      </c>
      <c r="E13">
        <v>50</v>
      </c>
      <c r="F13">
        <f>D13*E13</f>
        <v>50000</v>
      </c>
    </row>
    <row r="14">
      <c r="A14" t="s">
        <v>48</v>
      </c>
      <c r="B14" t="s">
        <v>36</v>
      </c>
      <c r="C14" t="s">
        <v>38</v>
      </c>
      <c r="D14">
        <v>600</v>
      </c>
      <c r="E14">
        <v>70</v>
      </c>
      <c r="F14">
        <f>D14*E14</f>
        <v>42000</v>
      </c>
    </row>
    <row r="15" hidden="1">
      <c r="A15" t="s">
        <v>48</v>
      </c>
      <c r="B15" t="s">
        <v>44</v>
      </c>
      <c r="C15" t="s">
        <v>45</v>
      </c>
      <c r="D15">
        <v>200</v>
      </c>
      <c r="E15">
        <v>40</v>
      </c>
      <c r="F15">
        <f>D15*E15</f>
        <v>8000</v>
      </c>
    </row>
    <row r="16" hidden="1">
      <c r="A16" s="4" t="s">
        <v>48</v>
      </c>
      <c r="B16" t="s">
        <v>41</v>
      </c>
      <c r="C16" t="s">
        <v>46</v>
      </c>
      <c r="D16">
        <v>800</v>
      </c>
      <c r="E16">
        <v>60</v>
      </c>
      <c r="F16">
        <f>D16*E16</f>
        <v>48000</v>
      </c>
    </row>
    <row r="17">
      <c r="A17" s="3" t="s">
        <v>49</v>
      </c>
      <c r="B17" s="5" t="s">
        <v>49</v>
      </c>
      <c r="C17" s="5" t="s">
        <v>49</v>
      </c>
      <c r="D17" s="5">
        <f>SUBTOTAL(101,Таблица1[Цена])</f>
        <v>600</v>
      </c>
      <c r="E17" s="5">
        <f>SUBTOTAL(105,Таблица1[Количество])</f>
        <v>70</v>
      </c>
      <c r="F17" s="5">
        <f>SUBTOTAL(109,Таблица1[Стоимость])</f>
        <v>150000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3" max="3" width="10.8515625"/>
    <col customWidth="1" min="4" max="4" width="9.7109375"/>
    <col customWidth="1" min="7" max="7" width="17.8515625"/>
  </cols>
  <sheetData>
    <row r="1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</row>
    <row r="2">
      <c r="A2" t="s">
        <v>57</v>
      </c>
      <c r="B2">
        <v>2010</v>
      </c>
      <c r="C2" t="s">
        <v>58</v>
      </c>
      <c r="D2" t="s">
        <v>59</v>
      </c>
      <c r="E2">
        <v>4366</v>
      </c>
      <c r="F2">
        <v>5689</v>
      </c>
      <c r="G2" t="s">
        <v>60</v>
      </c>
    </row>
    <row r="3">
      <c r="A3" s="4" t="s">
        <v>57</v>
      </c>
      <c r="B3">
        <v>2010</v>
      </c>
      <c r="C3" s="4" t="s">
        <v>58</v>
      </c>
      <c r="D3" t="s">
        <v>61</v>
      </c>
      <c r="E3">
        <v>2869</v>
      </c>
      <c r="F3">
        <v>5678</v>
      </c>
      <c r="G3" t="s">
        <v>62</v>
      </c>
    </row>
    <row r="4">
      <c r="A4" t="s">
        <v>57</v>
      </c>
      <c r="B4">
        <v>2010</v>
      </c>
      <c r="C4" t="s">
        <v>58</v>
      </c>
      <c r="D4" t="s">
        <v>59</v>
      </c>
      <c r="E4">
        <v>2487</v>
      </c>
      <c r="F4">
        <v>3571</v>
      </c>
      <c r="G4" t="s">
        <v>60</v>
      </c>
    </row>
    <row r="5">
      <c r="A5" t="s">
        <v>63</v>
      </c>
      <c r="B5">
        <v>2010</v>
      </c>
      <c r="C5" t="s">
        <v>64</v>
      </c>
      <c r="D5" t="s">
        <v>65</v>
      </c>
      <c r="E5">
        <v>6712</v>
      </c>
      <c r="F5">
        <v>2678</v>
      </c>
      <c r="G5" t="s">
        <v>66</v>
      </c>
    </row>
    <row r="6">
      <c r="A6" t="s">
        <v>63</v>
      </c>
      <c r="B6">
        <v>2010</v>
      </c>
      <c r="C6" t="s">
        <v>67</v>
      </c>
      <c r="D6" t="s">
        <v>59</v>
      </c>
      <c r="E6">
        <v>9437</v>
      </c>
      <c r="F6">
        <v>3470</v>
      </c>
      <c r="G6" t="s">
        <v>68</v>
      </c>
    </row>
    <row r="7">
      <c r="A7" t="s">
        <v>69</v>
      </c>
      <c r="B7">
        <v>2010</v>
      </c>
      <c r="C7" t="s">
        <v>64</v>
      </c>
      <c r="D7" t="s">
        <v>65</v>
      </c>
      <c r="E7">
        <v>8912</v>
      </c>
      <c r="F7">
        <v>9710</v>
      </c>
      <c r="G7" t="s">
        <v>60</v>
      </c>
    </row>
    <row r="8">
      <c r="A8" t="s">
        <v>70</v>
      </c>
      <c r="B8">
        <v>2010</v>
      </c>
      <c r="C8" t="s">
        <v>67</v>
      </c>
      <c r="D8" t="s">
        <v>59</v>
      </c>
      <c r="E8">
        <v>2943</v>
      </c>
      <c r="F8">
        <v>3744</v>
      </c>
      <c r="G8" t="s">
        <v>62</v>
      </c>
    </row>
    <row r="9">
      <c r="A9" t="s">
        <v>71</v>
      </c>
      <c r="B9">
        <v>2010</v>
      </c>
      <c r="C9" s="4" t="s">
        <v>64</v>
      </c>
      <c r="D9" t="s">
        <v>72</v>
      </c>
      <c r="E9">
        <v>1546</v>
      </c>
      <c r="F9">
        <v>2734</v>
      </c>
      <c r="G9" t="s">
        <v>62</v>
      </c>
    </row>
    <row r="10">
      <c r="A10" t="s">
        <v>71</v>
      </c>
      <c r="B10">
        <v>2010</v>
      </c>
      <c r="C10" t="s">
        <v>73</v>
      </c>
      <c r="D10" t="s">
        <v>72</v>
      </c>
      <c r="E10">
        <v>8934</v>
      </c>
      <c r="F10">
        <v>6715</v>
      </c>
      <c r="G10" t="s">
        <v>68</v>
      </c>
    </row>
    <row r="11">
      <c r="A11" t="s">
        <v>74</v>
      </c>
      <c r="B11">
        <v>2010</v>
      </c>
      <c r="C11" t="s">
        <v>73</v>
      </c>
      <c r="D11" t="s">
        <v>65</v>
      </c>
      <c r="E11">
        <v>4870</v>
      </c>
      <c r="F11">
        <v>6248</v>
      </c>
      <c r="G11" t="s">
        <v>62</v>
      </c>
    </row>
    <row r="12">
      <c r="A12" s="4" t="s">
        <v>74</v>
      </c>
      <c r="B12">
        <v>2010</v>
      </c>
      <c r="C12" t="s">
        <v>73</v>
      </c>
      <c r="D12" t="s">
        <v>61</v>
      </c>
      <c r="E12">
        <v>9465</v>
      </c>
      <c r="F12">
        <v>9970</v>
      </c>
      <c r="G12" t="s">
        <v>68</v>
      </c>
    </row>
  </sheetData>
  <autoFilter ref="A1:G12">
    <sortState ref="A2:G12">
      <sortCondition descending="1" ref="A1:A12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18.00390625"/>
    <col bestFit="1" min="2" max="2" width="21.57421875"/>
    <col bestFit="1" min="3" max="3" width="10.7109375"/>
    <col bestFit="1" min="4" max="4" width="13.00390625"/>
    <col bestFit="1" min="5" max="5" width="14.421875"/>
    <col bestFit="1" min="6" max="6" width="11.8515625"/>
    <col bestFit="1" min="7" max="7" width="10.421875"/>
    <col bestFit="1" min="8" max="8" width="10.7109375"/>
    <col bestFit="1" min="9" max="9" width="13.28125"/>
    <col bestFit="1" min="10" max="10" width="11.8515625"/>
  </cols>
  <sheetData>
    <row r="3">
      <c r="A3" t="s">
        <v>75</v>
      </c>
      <c r="B3" t="s">
        <v>76</v>
      </c>
    </row>
    <row r="4">
      <c r="A4" t="s">
        <v>77</v>
      </c>
      <c r="B4" t="s">
        <v>60</v>
      </c>
      <c r="C4" t="s">
        <v>66</v>
      </c>
      <c r="D4" t="s">
        <v>68</v>
      </c>
      <c r="E4" t="s">
        <v>62</v>
      </c>
      <c r="F4" t="s">
        <v>78</v>
      </c>
    </row>
    <row r="5">
      <c r="A5" s="2" t="s">
        <v>64</v>
      </c>
      <c r="B5">
        <v>8912</v>
      </c>
      <c r="C5">
        <v>6712</v>
      </c>
      <c r="E5">
        <v>1546</v>
      </c>
      <c r="F5">
        <v>17170</v>
      </c>
    </row>
    <row r="6">
      <c r="A6" s="2" t="s">
        <v>58</v>
      </c>
      <c r="B6">
        <v>6853</v>
      </c>
      <c r="E6">
        <v>2869</v>
      </c>
      <c r="F6">
        <v>9722</v>
      </c>
    </row>
    <row r="7">
      <c r="A7" s="2" t="s">
        <v>67</v>
      </c>
      <c r="D7">
        <v>9437</v>
      </c>
      <c r="E7">
        <v>2943</v>
      </c>
      <c r="F7">
        <v>12380</v>
      </c>
    </row>
    <row r="8">
      <c r="A8" s="2" t="s">
        <v>73</v>
      </c>
      <c r="D8">
        <v>18399</v>
      </c>
      <c r="E8">
        <v>4870</v>
      </c>
      <c r="F8">
        <v>23269</v>
      </c>
    </row>
    <row r="9">
      <c r="A9" s="2" t="s">
        <v>78</v>
      </c>
      <c r="B9">
        <v>15765</v>
      </c>
      <c r="C9">
        <v>6712</v>
      </c>
      <c r="D9">
        <v>27836</v>
      </c>
      <c r="E9">
        <v>12228</v>
      </c>
      <c r="F9">
        <v>62541</v>
      </c>
    </row>
    <row r="10"/>
    <row r="11"/>
    <row r="12"/>
    <row r="13"/>
    <row r="14"/>
    <row r="15"/>
    <row r="16"/>
    <row r="17"/>
    <row r="18"/>
    <row r="19"/>
    <row r="20"/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18.00390625"/>
    <col bestFit="1" min="2" max="2" width="21.57421875"/>
    <col bestFit="1" min="3" max="3" width="7.7109375"/>
    <col bestFit="1" min="4" max="4" width="5.7109375"/>
    <col bestFit="1" min="5" max="5" width="8.28125"/>
    <col bestFit="1" min="6" max="6" width="11.8515625"/>
    <col bestFit="1" min="7" max="7" width="13.7109375"/>
    <col bestFit="1" min="8" max="8" width="10.140625"/>
    <col bestFit="1" min="9" max="9" width="7.8515625"/>
    <col bestFit="1" min="10" max="10" width="12.57421875"/>
    <col bestFit="1" min="11" max="11" width="11.421875"/>
    <col bestFit="1" min="12" max="12" width="10.7109375"/>
    <col bestFit="1" min="13" max="13" width="14.00390625"/>
    <col bestFit="1" min="14" max="14" width="11.8515625"/>
  </cols>
  <sheetData>
    <row r="1">
      <c r="A1" t="s">
        <v>75</v>
      </c>
      <c r="B1" t="s">
        <v>76</v>
      </c>
    </row>
    <row r="2">
      <c r="A2" t="s">
        <v>77</v>
      </c>
      <c r="B2" t="s">
        <v>64</v>
      </c>
      <c r="C2" t="s">
        <v>58</v>
      </c>
      <c r="D2" t="s">
        <v>67</v>
      </c>
      <c r="E2" t="s">
        <v>73</v>
      </c>
      <c r="F2" t="s">
        <v>78</v>
      </c>
    </row>
    <row r="3">
      <c r="A3" s="2" t="s">
        <v>74</v>
      </c>
      <c r="E3">
        <v>14335</v>
      </c>
      <c r="F3">
        <v>14335</v>
      </c>
    </row>
    <row r="4">
      <c r="A4" s="2" t="s">
        <v>71</v>
      </c>
      <c r="B4">
        <v>1546</v>
      </c>
      <c r="E4">
        <v>8934</v>
      </c>
      <c r="F4">
        <v>10480</v>
      </c>
    </row>
    <row r="5">
      <c r="A5" s="2" t="s">
        <v>70</v>
      </c>
      <c r="D5">
        <v>2943</v>
      </c>
      <c r="F5">
        <v>2943</v>
      </c>
    </row>
    <row r="6">
      <c r="A6" s="2" t="s">
        <v>69</v>
      </c>
      <c r="B6">
        <v>8912</v>
      </c>
      <c r="F6">
        <v>8912</v>
      </c>
    </row>
    <row r="7">
      <c r="A7" s="2" t="s">
        <v>63</v>
      </c>
      <c r="B7">
        <v>6712</v>
      </c>
      <c r="D7">
        <v>9437</v>
      </c>
      <c r="F7">
        <v>16149</v>
      </c>
    </row>
    <row r="8">
      <c r="A8" s="2" t="s">
        <v>57</v>
      </c>
      <c r="C8">
        <v>9722</v>
      </c>
      <c r="F8">
        <v>9722</v>
      </c>
    </row>
    <row r="9">
      <c r="A9" s="2" t="s">
        <v>78</v>
      </c>
      <c r="B9">
        <v>17170</v>
      </c>
      <c r="C9">
        <v>9722</v>
      </c>
      <c r="D9">
        <v>12380</v>
      </c>
      <c r="E9">
        <v>23269</v>
      </c>
      <c r="F9">
        <v>62541</v>
      </c>
    </row>
    <row r="10"/>
    <row r="11"/>
    <row r="12"/>
    <row r="13"/>
    <row r="14"/>
    <row r="15"/>
    <row r="16"/>
    <row r="17"/>
    <row r="18"/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R7-Office/2024.1.1.375</Application>
  <DocSecurity>0</DocSecurity>
  <HyperlinksChanged>false</HyperlinksChanged>
  <LinksUpToDate>false</LinksUpToDate>
  <ScaleCrop>false</ScaleCrop>
  <SharedDoc>false</SharedDoc>
  <Template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ru-RU</dc:language>
  <cp:lastModifiedBy>Иван Гласов</cp:lastModifiedBy>
  <cp:revision>4</cp:revision>
  <dcterms:created xsi:type="dcterms:W3CDTF">2023-08-25T14:01:22Z</dcterms:created>
  <dcterms:modified xsi:type="dcterms:W3CDTF">2026-03-01T19:21:14Z</dcterms:modified>
</cp:coreProperties>
</file>