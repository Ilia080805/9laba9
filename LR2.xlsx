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T_in_PA\25VVV3\3_GS\"/>
    </mc:Choice>
  </mc:AlternateContent>
  <xr:revisionPtr revIDLastSave="0" documentId="13_ncr:1_{A1DBD080-6241-482F-A8DB-51B7F09DA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Диаграммы" sheetId="2" r:id="rId2"/>
    <sheet name="Производство зерна" sheetId="3" r:id="rId3"/>
    <sheet name="Диаграммы.Производство зерна" sheetId="4" r:id="rId4"/>
    <sheet name="Литература" sheetId="5" r:id="rId5"/>
    <sheet name="Исходные данные" sheetId="6" r:id="rId6"/>
    <sheet name="Год-Продукция" sheetId="7" r:id="rId7"/>
    <sheet name="Поставщики" sheetId="8" r:id="rId8"/>
  </sheets>
  <definedNames>
    <definedName name="_xlnm._FilterDatabase" localSheetId="5" hidden="1">'Исходные данные'!$A$1:$G$12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E17" i="5"/>
  <c r="D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C8" i="3"/>
  <c r="E7" i="3"/>
  <c r="F7" i="3" s="1"/>
  <c r="E6" i="3"/>
  <c r="E5" i="3"/>
  <c r="F5" i="3" s="1"/>
  <c r="G5" i="3" s="1"/>
  <c r="H5" i="3" s="1"/>
  <c r="E4" i="3"/>
  <c r="E8" i="3" s="1"/>
  <c r="E3" i="3"/>
  <c r="F10" i="1"/>
  <c r="E10" i="1"/>
  <c r="D10" i="1"/>
  <c r="C10" i="1"/>
  <c r="B10" i="1"/>
  <c r="F8" i="1"/>
  <c r="F9" i="1" s="1"/>
  <c r="E8" i="1"/>
  <c r="E9" i="1" s="1"/>
  <c r="D8" i="1"/>
  <c r="D9" i="1" s="1"/>
  <c r="C8" i="1"/>
  <c r="C9" i="1" s="1"/>
  <c r="B8" i="1"/>
  <c r="F4" i="3" l="1"/>
  <c r="G4" i="3"/>
  <c r="H4" i="3" s="1"/>
  <c r="G7" i="3"/>
  <c r="H7" i="3" s="1"/>
  <c r="C12" i="1"/>
  <c r="B9" i="1"/>
  <c r="B12" i="1" s="1"/>
  <c r="D12" i="1"/>
  <c r="E12" i="1"/>
  <c r="F12" i="1"/>
  <c r="F3" i="3"/>
  <c r="F8" i="3" s="1"/>
  <c r="F6" i="3"/>
  <c r="G6" i="3" s="1"/>
  <c r="H6" i="3" s="1"/>
  <c r="G3" i="3" l="1"/>
  <c r="H3" i="3" l="1"/>
  <c r="G8" i="3"/>
  <c r="H8" i="3" s="1"/>
</calcChain>
</file>

<file path=xl/sharedStrings.xml><?xml version="1.0" encoding="utf-8"?>
<sst xmlns="http://schemas.openxmlformats.org/spreadsheetml/2006/main" count="162" uniqueCount="79">
  <si>
    <t>Результаты работы малого предприятия</t>
  </si>
  <si>
    <t>Цена продукта</t>
  </si>
  <si>
    <t>Затраты</t>
  </si>
  <si>
    <t>Рентабельность</t>
  </si>
  <si>
    <t>1 квартал</t>
  </si>
  <si>
    <t>2 квартал</t>
  </si>
  <si>
    <t>3 квартал</t>
  </si>
  <si>
    <t>4 квартал</t>
  </si>
  <si>
    <t>за год</t>
  </si>
  <si>
    <t>реализовано</t>
  </si>
  <si>
    <t>выручено денег</t>
  </si>
  <si>
    <t>себестоимость</t>
  </si>
  <si>
    <t>прямые расходы</t>
  </si>
  <si>
    <t>Прибыль</t>
  </si>
  <si>
    <t>Сведения о производстве зерна в 2009г.</t>
  </si>
  <si>
    <t>№ п\п</t>
  </si>
  <si>
    <t>Страна</t>
  </si>
  <si>
    <t>Посевна площадь (га)</t>
  </si>
  <si>
    <t>Урожайность (т\га)</t>
  </si>
  <si>
    <t>Валовой сбор (т)</t>
  </si>
  <si>
    <t>Внутреннее потребление (т)</t>
  </si>
  <si>
    <t>Экспорт (т)</t>
  </si>
  <si>
    <t>Выводы</t>
  </si>
  <si>
    <t>Россия</t>
  </si>
  <si>
    <t>Казахстан</t>
  </si>
  <si>
    <t>США</t>
  </si>
  <si>
    <t>Канада</t>
  </si>
  <si>
    <t>Франция</t>
  </si>
  <si>
    <t>Итого</t>
  </si>
  <si>
    <t>Дата</t>
  </si>
  <si>
    <t>Тематика</t>
  </si>
  <si>
    <t>Название</t>
  </si>
  <si>
    <t>Цена</t>
  </si>
  <si>
    <t>Количество</t>
  </si>
  <si>
    <t>Стоимость</t>
  </si>
  <si>
    <t>1 кв.</t>
  </si>
  <si>
    <t>Компьютеры</t>
  </si>
  <si>
    <t>Microsoft Excel 2007</t>
  </si>
  <si>
    <t>Windows 7</t>
  </si>
  <si>
    <t>Прозы</t>
  </si>
  <si>
    <t>Война и мир</t>
  </si>
  <si>
    <t>Экономика</t>
  </si>
  <si>
    <t>Экономист</t>
  </si>
  <si>
    <t>2 кв.</t>
  </si>
  <si>
    <t>Проза</t>
  </si>
  <si>
    <t>Ревизор</t>
  </si>
  <si>
    <t>Маркетист</t>
  </si>
  <si>
    <t>3 кв.</t>
  </si>
  <si>
    <t>4 кв.</t>
  </si>
  <si>
    <t>Summary</t>
  </si>
  <si>
    <t>Месяц</t>
  </si>
  <si>
    <t>Год</t>
  </si>
  <si>
    <t>Продукция</t>
  </si>
  <si>
    <t>Продавец</t>
  </si>
  <si>
    <t>Сбыт</t>
  </si>
  <si>
    <t>Объем</t>
  </si>
  <si>
    <t>Район</t>
  </si>
  <si>
    <t>Январь</t>
  </si>
  <si>
    <t>молоко</t>
  </si>
  <si>
    <t>Петров</t>
  </si>
  <si>
    <t>Железнодорожный</t>
  </si>
  <si>
    <t>Никитин</t>
  </si>
  <si>
    <t>Первомайский</t>
  </si>
  <si>
    <t>Февраль</t>
  </si>
  <si>
    <t>бакалея</t>
  </si>
  <si>
    <t>Марченко</t>
  </si>
  <si>
    <t>Ленинский</t>
  </si>
  <si>
    <t>мясо</t>
  </si>
  <si>
    <t>Октябрьский</t>
  </si>
  <si>
    <t>Сентябрь</t>
  </si>
  <si>
    <t>Март</t>
  </si>
  <si>
    <t>Май</t>
  </si>
  <si>
    <t>Сидоров</t>
  </si>
  <si>
    <t>напитки</t>
  </si>
  <si>
    <t>Апрель</t>
  </si>
  <si>
    <t>Sum из Сбыт</t>
  </si>
  <si>
    <t>Названия столбцов</t>
  </si>
  <si>
    <t>Названия строк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</si>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</sst>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>
        <c:manualLayout>
          <c:layoutTarget val="inner"/>
          <c:xMode val="edge"/>
          <c:yMode val="edge"/>
          <c:x val="4.6019999999999998E-2"/>
          <c:y val="0.191"/>
          <c:w val="0.93305000000000005"/>
          <c:h val="0.71582000000000001"/>
        </c:manualLayout>
      </c:layout>
      <c:pie3DChart>
        <c:varyColors val="1"/>
        <c:ser>
          <c:idx val="0"/>
          <c:order val="0"/>
          <c:tx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E65-487C-8834-918CE2278767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E65-487C-8834-918CE2278767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E65-487C-8834-918CE2278767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E65-487C-8834-918CE2278767}"/>
              </c:ext>
            </c:extLst>
          </c:dPt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Лист1!$B$6:$E$6</c:f>
              <c:strCache>
                <c:ptCount val="4"/>
                <c:pt idx="0">
                  <c:v>1 квартал</c:v>
                </c:pt>
                <c:pt idx="1">
                  <c:v>2 квартал</c:v>
                </c:pt>
                <c:pt idx="2">
                  <c:v>3 квартал</c:v>
                </c:pt>
                <c:pt idx="3">
                  <c:v>4 квартал</c:v>
                </c:pt>
              </c:strCache>
            </c:strRef>
          </c:cat>
          <c:val>
            <c:numRef>
              <c:f>Лист1!$B$7:$E$7</c:f>
              <c:numCache>
                <c:formatCode>General</c:formatCode>
                <c:ptCount val="4"/>
                <c:pt idx="0">
                  <c:v>800</c:v>
                </c:pt>
                <c:pt idx="1">
                  <c:v>1200</c:v>
                </c:pt>
                <c:pt idx="2">
                  <c:v>1300</c:v>
                </c:pt>
                <c:pt idx="3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65-487C-8834-918CE2278767}"/>
            </c:ext>
          </c:extLst>
        </c:ser>
        <c:dLbls>
          <c:dLblPos val="ctr"/>
          <c:showLegendKey val="0"/>
          <c:showVal val="1"/>
          <c:showCatName val="0"/>
          <c:showSerName val="1"/>
          <c:showPercent val="0"/>
          <c:showBubbleSize val="0"/>
          <c:separator> </c:separator>
          <c:showLeaderLines val="0"/>
        </c:dLbls>
      </c:pie3D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7972423" y="31432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tx>
          <c:spPr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Лист1!$B$6:$E$6</c:f>
              <c:strCache>
                <c:ptCount val="4"/>
                <c:pt idx="0">
                  <c:v>1 квартал</c:v>
                </c:pt>
                <c:pt idx="1">
                  <c:v>2 квартал</c:v>
                </c:pt>
                <c:pt idx="2">
                  <c:v>3 квартал</c:v>
                </c:pt>
                <c:pt idx="3">
                  <c:v>4 квартал</c:v>
                </c:pt>
              </c:strCache>
            </c:strRef>
          </c:cat>
          <c:val>
            <c:numRef>
              <c:f>Лист1!$B$7:$E$7</c:f>
              <c:numCache>
                <c:formatCode>General</c:formatCode>
                <c:ptCount val="4"/>
                <c:pt idx="0">
                  <c:v>800</c:v>
                </c:pt>
                <c:pt idx="1">
                  <c:v>1200</c:v>
                </c:pt>
                <c:pt idx="2">
                  <c:v>1300</c:v>
                </c:pt>
                <c:pt idx="3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3-417A-8A2D-C5A2A066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169477"/>
        <c:axId val="1866169478"/>
      </c:lineChart>
      <c:catAx>
        <c:axId val="1866169477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478"/>
        <c:crosses val="autoZero"/>
        <c:auto val="1"/>
        <c:lblAlgn val="ctr"/>
        <c:lblOffset val="100"/>
        <c:noMultiLvlLbl val="0"/>
      </c:catAx>
      <c:valAx>
        <c:axId val="186616947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47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7972423" y="347662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Лист1!$B$6:$E$6</c:f>
              <c:strCache>
                <c:ptCount val="4"/>
                <c:pt idx="0">
                  <c:v>1 квартал</c:v>
                </c:pt>
                <c:pt idx="1">
                  <c:v>2 квартал</c:v>
                </c:pt>
                <c:pt idx="2">
                  <c:v>3 квартал</c:v>
                </c:pt>
                <c:pt idx="3">
                  <c:v>4 квартал</c:v>
                </c:pt>
              </c:strCache>
            </c:strRef>
          </c:cat>
          <c:val>
            <c:numRef>
              <c:f>Лист1!$B$7:$E$7</c:f>
              <c:numCache>
                <c:formatCode>General</c:formatCode>
                <c:ptCount val="4"/>
                <c:pt idx="0">
                  <c:v>800</c:v>
                </c:pt>
                <c:pt idx="1">
                  <c:v>1200</c:v>
                </c:pt>
                <c:pt idx="2">
                  <c:v>1300</c:v>
                </c:pt>
                <c:pt idx="3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084-979A-E66F9E461F9C}"/>
            </c:ext>
          </c:extLst>
        </c:ser>
        <c:ser>
          <c:idx val="1"/>
          <c:order val="1"/>
          <c:tx>
            <c:strRef>
              <c:f>Лист1!$A$8</c:f>
              <c:strCache>
                <c:ptCount val="1"/>
                <c:pt idx="0">
                  <c:v>выручено денег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Лист1!$B$6:$E$6</c:f>
              <c:strCache>
                <c:ptCount val="4"/>
                <c:pt idx="0">
                  <c:v>1 квартал</c:v>
                </c:pt>
                <c:pt idx="1">
                  <c:v>2 квартал</c:v>
                </c:pt>
                <c:pt idx="2">
                  <c:v>3 квартал</c:v>
                </c:pt>
                <c:pt idx="3">
                  <c:v>4 квартал</c:v>
                </c:pt>
              </c:strCache>
            </c:strRef>
          </c:cat>
          <c:val>
            <c:numRef>
              <c:f>Лист1!$B$8:$E$8</c:f>
              <c:numCache>
                <c:formatCode>General</c:formatCode>
                <c:ptCount val="4"/>
                <c:pt idx="0">
                  <c:v>280000</c:v>
                </c:pt>
                <c:pt idx="1">
                  <c:v>420000</c:v>
                </c:pt>
                <c:pt idx="2">
                  <c:v>455000</c:v>
                </c:pt>
                <c:pt idx="3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084-979A-E66F9E46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6169511"/>
        <c:axId val="1866169512"/>
      </c:barChart>
      <c:lineChart>
        <c:grouping val="standard"/>
        <c:varyColors val="0"/>
        <c:ser>
          <c:idx val="2"/>
          <c:order val="2"/>
          <c:tx>
            <c:strRef>
              <c:f>Лист1!$A$9</c:f>
              <c:strCache>
                <c:ptCount val="1"/>
                <c:pt idx="0">
                  <c:v>себестоимость</c:v>
                </c:pt>
              </c:strCache>
            </c:strRef>
          </c:tx>
          <c:spPr>
            <a:prstGeom prst="rect">
              <a:avLst/>
            </a:prstGeom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cat>
            <c:strRef>
              <c:f>Лист1!$B$6:$E$6</c:f>
              <c:strCache>
                <c:ptCount val="4"/>
                <c:pt idx="0">
                  <c:v>1 квартал</c:v>
                </c:pt>
                <c:pt idx="1">
                  <c:v>2 квартал</c:v>
                </c:pt>
                <c:pt idx="2">
                  <c:v>3 квартал</c:v>
                </c:pt>
                <c:pt idx="3">
                  <c:v>4 квартал</c:v>
                </c:pt>
              </c:strCache>
            </c:strRef>
          </c:cat>
          <c:val>
            <c:numRef>
              <c:f>Лист1!$B$9:$E$9</c:f>
              <c:numCache>
                <c:formatCode>General</c:formatCode>
                <c:ptCount val="4"/>
                <c:pt idx="0">
                  <c:v>154000</c:v>
                </c:pt>
                <c:pt idx="1">
                  <c:v>231000.00000000003</c:v>
                </c:pt>
                <c:pt idx="2">
                  <c:v>250250.00000000003</c:v>
                </c:pt>
                <c:pt idx="3">
                  <c:v>327250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2-4084-979A-E66F9E46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169511"/>
        <c:axId val="1866169512"/>
      </c:lineChart>
      <c:catAx>
        <c:axId val="186616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12"/>
        <c:crosses val="autoZero"/>
        <c:auto val="1"/>
        <c:lblAlgn val="ctr"/>
        <c:lblOffset val="100"/>
        <c:noMultiLvlLbl val="0"/>
      </c:catAx>
      <c:valAx>
        <c:axId val="186616951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1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1828799" y="26860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Лист1!$B$6</c:f>
              <c:strCache>
                <c:ptCount val="1"/>
                <c:pt idx="0">
                  <c:v>1 квартал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cat>
          <c:val>
            <c:numRef>
              <c:f>Лист1!$B$7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4-4F8E-87B3-0F6184555BB8}"/>
            </c:ext>
          </c:extLst>
        </c:ser>
        <c:ser>
          <c:idx val="1"/>
          <c:order val="1"/>
          <c:tx>
            <c:strRef>
              <c:f>Лист1!$C$6</c:f>
              <c:strCache>
                <c:ptCount val="1"/>
                <c:pt idx="0">
                  <c:v>2 квартал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cat>
          <c:val>
            <c:numRef>
              <c:f>Лист1!$C$7</c:f>
              <c:numCache>
                <c:formatCode>General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4-4F8E-87B3-0F6184555BB8}"/>
            </c:ext>
          </c:extLst>
        </c:ser>
        <c:ser>
          <c:idx val="2"/>
          <c:order val="2"/>
          <c:tx>
            <c:strRef>
              <c:f>Лист1!$D$6</c:f>
              <c:strCache>
                <c:ptCount val="1"/>
                <c:pt idx="0">
                  <c:v>3 квартал</c:v>
                </c:pt>
              </c:strCache>
            </c:strRef>
          </c:tx>
          <c:spPr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cat>
          <c:val>
            <c:numRef>
              <c:f>Лист1!$D$7</c:f>
              <c:numCache>
                <c:formatCode>General</c:formatCode>
                <c:ptCount val="1"/>
                <c:pt idx="0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4-4F8E-87B3-0F6184555BB8}"/>
            </c:ext>
          </c:extLst>
        </c:ser>
        <c:ser>
          <c:idx val="3"/>
          <c:order val="3"/>
          <c:tx>
            <c:strRef>
              <c:f>Лист1!$E$6</c:f>
              <c:strCache>
                <c:ptCount val="1"/>
                <c:pt idx="0">
                  <c:v>4 квартал</c:v>
                </c:pt>
              </c:strCache>
            </c:strRef>
          </c:tx>
          <c:spPr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0"/>
          <c:cat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cat>
          <c:val>
            <c:numRef>
              <c:f>Лист1!$E$7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4-4F8E-87B3-0F618455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1866169503"/>
        <c:axId val="1866169504"/>
      </c:barChart>
      <c:catAx>
        <c:axId val="186616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04"/>
        <c:crosses val="autoZero"/>
        <c:auto val="1"/>
        <c:lblAlgn val="ctr"/>
        <c:lblOffset val="100"/>
        <c:noMultiLvlLbl val="0"/>
      </c:catAx>
      <c:valAx>
        <c:axId val="1866169504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03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609599" y="48577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Лист1!$A$7</c:f>
              <c:strCache>
                <c:ptCount val="1"/>
                <c:pt idx="0">
                  <c:v>реализовано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71C-4326-8710-CDE4D9CD6BD3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71C-4326-8710-CDE4D9CD6BD3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71C-4326-8710-CDE4D9CD6BD3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71C-4326-8710-CDE4D9CD6BD3}"/>
              </c:ext>
            </c:extLst>
          </c:dPt>
          <c:cat>
            <c:strRef>
              <c:f>Лист1!$B$6:$E$6</c:f>
              <c:strCache>
                <c:ptCount val="4"/>
                <c:pt idx="0">
                  <c:v>1 квартал</c:v>
                </c:pt>
                <c:pt idx="1">
                  <c:v>2 квартал</c:v>
                </c:pt>
                <c:pt idx="2">
                  <c:v>3 квартал</c:v>
                </c:pt>
                <c:pt idx="3">
                  <c:v>4 квартал</c:v>
                </c:pt>
              </c:strCache>
            </c:strRef>
          </c:cat>
          <c:val>
            <c:numRef>
              <c:f>Лист1!$B$7:$E$7</c:f>
              <c:numCache>
                <c:formatCode>General</c:formatCode>
                <c:ptCount val="4"/>
                <c:pt idx="0">
                  <c:v>800</c:v>
                </c:pt>
                <c:pt idx="1">
                  <c:v>1200</c:v>
                </c:pt>
                <c:pt idx="2">
                  <c:v>1300</c:v>
                </c:pt>
                <c:pt idx="3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1C-4326-8710-CDE4D9CD6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7924799" y="647699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Сведения о производстве зерна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multiLvlStrRef>
              <c:f>'Производство зерна'!$C$2:$H$6</c:f>
              <c:multiLvlStrCache>
                <c:ptCount val="6"/>
                <c:lvl>
                  <c:pt idx="0">
                    <c:v>20000</c:v>
                  </c:pt>
                  <c:pt idx="1">
                    <c:v>4,5</c:v>
                  </c:pt>
                  <c:pt idx="2">
                    <c:v>72000</c:v>
                  </c:pt>
                  <c:pt idx="3">
                    <c:v>28800</c:v>
                  </c:pt>
                  <c:pt idx="4">
                    <c:v>30240</c:v>
                  </c:pt>
                  <c:pt idx="5">
                    <c:v>Международный поставщик</c:v>
                  </c:pt>
                </c:lvl>
                <c:lvl>
                  <c:pt idx="0">
                    <c:v>40000</c:v>
                  </c:pt>
                  <c:pt idx="1">
                    <c:v>5</c:v>
                  </c:pt>
                  <c:pt idx="2">
                    <c:v>160000</c:v>
                  </c:pt>
                  <c:pt idx="3">
                    <c:v>64000</c:v>
                  </c:pt>
                  <c:pt idx="4">
                    <c:v>67200</c:v>
                  </c:pt>
                  <c:pt idx="5">
                    <c:v>Международный поставщик</c:v>
                  </c:pt>
                </c:lvl>
                <c:lvl>
                  <c:pt idx="0">
                    <c:v>35000</c:v>
                  </c:pt>
                  <c:pt idx="1">
                    <c:v>4,7</c:v>
                  </c:pt>
                  <c:pt idx="2">
                    <c:v>131600</c:v>
                  </c:pt>
                  <c:pt idx="3">
                    <c:v>78960</c:v>
                  </c:pt>
                  <c:pt idx="4">
                    <c:v>36848</c:v>
                  </c:pt>
                  <c:pt idx="5">
                    <c:v>0</c:v>
                  </c:pt>
                </c:lvl>
                <c:lvl>
                  <c:pt idx="0">
                    <c:v>50000</c:v>
                  </c:pt>
                  <c:pt idx="1">
                    <c:v>3,5</c:v>
                  </c:pt>
                  <c:pt idx="2">
                    <c:v>140000</c:v>
                  </c:pt>
                  <c:pt idx="3">
                    <c:v>84000</c:v>
                  </c:pt>
                  <c:pt idx="4">
                    <c:v>39200</c:v>
                  </c:pt>
                  <c:pt idx="5">
                    <c:v>0</c:v>
                  </c:pt>
                </c:lvl>
                <c:lvl>
                  <c:pt idx="0">
                    <c:v>Посевна площадь (га)</c:v>
                  </c:pt>
                  <c:pt idx="1">
                    <c:v>Урожайность (т\га)</c:v>
                  </c:pt>
                  <c:pt idx="2">
                    <c:v>Валовой сбор (т)</c:v>
                  </c:pt>
                  <c:pt idx="3">
                    <c:v>Внутреннее потребление (т)</c:v>
                  </c:pt>
                  <c:pt idx="4">
                    <c:v>Экспорт (т)</c:v>
                  </c:pt>
                  <c:pt idx="5">
                    <c:v>Выводы</c:v>
                  </c:pt>
                </c:lvl>
              </c:multiLvlStrCache>
            </c:multiLvlStrRef>
          </c:cat>
          <c:val>
            <c:numRef>
              <c:f>'Производство зерна'!$C$7:$H$7</c:f>
              <c:numCache>
                <c:formatCode>General</c:formatCode>
                <c:ptCount val="6"/>
                <c:pt idx="0">
                  <c:v>20000</c:v>
                </c:pt>
                <c:pt idx="1">
                  <c:v>3</c:v>
                </c:pt>
                <c:pt idx="2">
                  <c:v>48000</c:v>
                </c:pt>
                <c:pt idx="3">
                  <c:v>19200</c:v>
                </c:pt>
                <c:pt idx="4">
                  <c:v>20160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9-4C61-A2F6-B1B6C543E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169547"/>
        <c:axId val="1866169548"/>
        <c:axId val="1866169549"/>
      </c:bar3DChart>
      <c:catAx>
        <c:axId val="1866169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48"/>
        <c:crosses val="autoZero"/>
        <c:auto val="1"/>
        <c:lblAlgn val="ctr"/>
        <c:lblOffset val="100"/>
        <c:noMultiLvlLbl val="0"/>
      </c:catAx>
      <c:valAx>
        <c:axId val="186616954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47"/>
        <c:crosses val="autoZero"/>
        <c:crossBetween val="between"/>
      </c:valAx>
      <c:serAx>
        <c:axId val="18661695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47"/>
        <c:crosses val="autoZero"/>
      </c:ser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1828799" y="8096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'Производство зерна'!$D$2</c:f>
              <c:strCache>
                <c:ptCount val="1"/>
                <c:pt idx="0">
                  <c:v>Урожайность (т\га)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val>
            <c:numRef>
              <c:f>'Производство зерна'!$D$3:$D$7</c:f>
              <c:numCache>
                <c:formatCode>General</c:formatCode>
                <c:ptCount val="5"/>
                <c:pt idx="0">
                  <c:v>3.5</c:v>
                </c:pt>
                <c:pt idx="1">
                  <c:v>4.7</c:v>
                </c:pt>
                <c:pt idx="2">
                  <c:v>5</c:v>
                </c:pt>
                <c:pt idx="3">
                  <c:v>4.5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C-44BD-BEEC-D45773C1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1866169565"/>
        <c:axId val="1866169566"/>
      </c:barChart>
      <c:catAx>
        <c:axId val="1866169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66"/>
        <c:crosses val="autoZero"/>
        <c:auto val="1"/>
        <c:lblAlgn val="ctr"/>
        <c:lblOffset val="100"/>
        <c:noMultiLvlLbl val="0"/>
      </c:catAx>
      <c:valAx>
        <c:axId val="186616956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65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8534399" y="8096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Площади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'Производство зерна'!$C$2</c:f>
              <c:strCache>
                <c:ptCount val="1"/>
                <c:pt idx="0">
                  <c:v>Посевна площадь (га)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45B-47D3-869A-2A8CAC0BBB24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45B-47D3-869A-2A8CAC0BBB24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45B-47D3-869A-2A8CAC0BBB24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45B-47D3-869A-2A8CAC0BBB24}"/>
              </c:ext>
            </c:extLst>
          </c:dPt>
          <c:dPt>
            <c:idx val="4"/>
            <c:bubble3D val="0"/>
            <c:spPr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45B-47D3-869A-2A8CAC0BBB24}"/>
              </c:ext>
            </c:extLst>
          </c:dPt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'Производство зерна'!$B$3:$B$7</c:f>
              <c:strCache>
                <c:ptCount val="5"/>
                <c:pt idx="0">
                  <c:v>Россия</c:v>
                </c:pt>
                <c:pt idx="1">
                  <c:v>Казахстан</c:v>
                </c:pt>
                <c:pt idx="2">
                  <c:v>США</c:v>
                </c:pt>
                <c:pt idx="3">
                  <c:v>Канада</c:v>
                </c:pt>
                <c:pt idx="4">
                  <c:v>Франция</c:v>
                </c:pt>
              </c:strCache>
            </c:strRef>
          </c:cat>
          <c:val>
            <c:numRef>
              <c:f>'Производство зерна'!$C$3:$C$7</c:f>
              <c:numCache>
                <c:formatCode>General</c:formatCode>
                <c:ptCount val="5"/>
                <c:pt idx="0">
                  <c:v>50000</c:v>
                </c:pt>
                <c:pt idx="1">
                  <c:v>35000</c:v>
                </c:pt>
                <c:pt idx="2">
                  <c:v>40000</c:v>
                </c:pt>
                <c:pt idx="3">
                  <c:v>20000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5B-47D3-869A-2A8CAC0BBB24}"/>
            </c:ext>
          </c:extLst>
        </c:ser>
        <c:dLbls>
          <c:dLblPos val="ctr"/>
          <c:showLegendKey val="0"/>
          <c:showVal val="1"/>
          <c:showCatName val="0"/>
          <c:showSerName val="1"/>
          <c:showPercent val="0"/>
          <c:showBubbleSize val="0"/>
          <c:separator> </c:separator>
          <c:showLeaderLines val="0"/>
        </c:dLbls>
        <c:firstSliceAng val="0"/>
      </c:pie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1828799" y="4210049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'Производство зерна'!$B$3</c:f>
              <c:strCache>
                <c:ptCount val="1"/>
                <c:pt idx="0">
                  <c:v>Россия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'Производство зерна'!$C$2:$G$2</c:f>
              <c:strCache>
                <c:ptCount val="5"/>
                <c:pt idx="0">
                  <c:v>Посевна площадь (га)</c:v>
                </c:pt>
                <c:pt idx="1">
                  <c:v>Урожайность (т\га)</c:v>
                </c:pt>
                <c:pt idx="2">
                  <c:v>Валовой сбор (т)</c:v>
                </c:pt>
                <c:pt idx="3">
                  <c:v>Внутреннее потребление (т)</c:v>
                </c:pt>
                <c:pt idx="4">
                  <c:v>Экспорт (т)</c:v>
                </c:pt>
              </c:strCache>
            </c:strRef>
          </c:cat>
          <c:val>
            <c:numRef>
              <c:f>'Производство зерна'!$C$3:$G$3</c:f>
              <c:numCache>
                <c:formatCode>General</c:formatCode>
                <c:ptCount val="5"/>
                <c:pt idx="0">
                  <c:v>50000</c:v>
                </c:pt>
                <c:pt idx="1">
                  <c:v>3.5</c:v>
                </c:pt>
                <c:pt idx="2">
                  <c:v>140000</c:v>
                </c:pt>
                <c:pt idx="3">
                  <c:v>84000</c:v>
                </c:pt>
                <c:pt idx="4">
                  <c:v>39200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D-49DC-B97E-A2E3A0FD91E4}"/>
            </c:ext>
          </c:extLst>
        </c:ser>
        <c:ser>
          <c:idx val="1"/>
          <c:order val="1"/>
          <c:tx>
            <c:strRef>
              <c:f>'Производство зерна'!$B$4</c:f>
              <c:strCache>
                <c:ptCount val="1"/>
                <c:pt idx="0">
                  <c:v>Казахстан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'Производство зерна'!$C$2:$G$2</c:f>
              <c:strCache>
                <c:ptCount val="5"/>
                <c:pt idx="0">
                  <c:v>Посевна площадь (га)</c:v>
                </c:pt>
                <c:pt idx="1">
                  <c:v>Урожайность (т\га)</c:v>
                </c:pt>
                <c:pt idx="2">
                  <c:v>Валовой сбор (т)</c:v>
                </c:pt>
                <c:pt idx="3">
                  <c:v>Внутреннее потребление (т)</c:v>
                </c:pt>
                <c:pt idx="4">
                  <c:v>Экспорт (т)</c:v>
                </c:pt>
              </c:strCache>
            </c:strRef>
          </c:cat>
          <c:val>
            <c:numRef>
              <c:f>'Производство зерна'!$C$4:$G$4</c:f>
              <c:numCache>
                <c:formatCode>General</c:formatCode>
                <c:ptCount val="5"/>
                <c:pt idx="0">
                  <c:v>35000</c:v>
                </c:pt>
                <c:pt idx="1">
                  <c:v>4.7</c:v>
                </c:pt>
                <c:pt idx="2">
                  <c:v>131600</c:v>
                </c:pt>
                <c:pt idx="3">
                  <c:v>78960</c:v>
                </c:pt>
                <c:pt idx="4">
                  <c:v>36848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D-49DC-B97E-A2E3A0FD91E4}"/>
            </c:ext>
          </c:extLst>
        </c:ser>
        <c:ser>
          <c:idx val="2"/>
          <c:order val="2"/>
          <c:tx>
            <c:strRef>
              <c:f>'Производство зерна'!$B$5</c:f>
              <c:strCache>
                <c:ptCount val="1"/>
                <c:pt idx="0">
                  <c:v>США</c:v>
                </c:pt>
              </c:strCache>
            </c:strRef>
          </c:tx>
          <c:spPr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'Производство зерна'!$C$2:$G$2</c:f>
              <c:strCache>
                <c:ptCount val="5"/>
                <c:pt idx="0">
                  <c:v>Посевна площадь (га)</c:v>
                </c:pt>
                <c:pt idx="1">
                  <c:v>Урожайность (т\га)</c:v>
                </c:pt>
                <c:pt idx="2">
                  <c:v>Валовой сбор (т)</c:v>
                </c:pt>
                <c:pt idx="3">
                  <c:v>Внутреннее потребление (т)</c:v>
                </c:pt>
                <c:pt idx="4">
                  <c:v>Экспорт (т)</c:v>
                </c:pt>
              </c:strCache>
            </c:strRef>
          </c:cat>
          <c:val>
            <c:numRef>
              <c:f>'Производство зерна'!$C$5:$G$5</c:f>
              <c:numCache>
                <c:formatCode>General</c:formatCode>
                <c:ptCount val="5"/>
                <c:pt idx="0">
                  <c:v>40000</c:v>
                </c:pt>
                <c:pt idx="1">
                  <c:v>5</c:v>
                </c:pt>
                <c:pt idx="2">
                  <c:v>160000</c:v>
                </c:pt>
                <c:pt idx="3">
                  <c:v>64000</c:v>
                </c:pt>
                <c:pt idx="4">
                  <c:v>67200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1D-49DC-B97E-A2E3A0FD91E4}"/>
            </c:ext>
          </c:extLst>
        </c:ser>
        <c:ser>
          <c:idx val="3"/>
          <c:order val="3"/>
          <c:tx>
            <c:strRef>
              <c:f>'Производство зерна'!$B$6</c:f>
              <c:strCache>
                <c:ptCount val="1"/>
                <c:pt idx="0">
                  <c:v>Канада</c:v>
                </c:pt>
              </c:strCache>
            </c:strRef>
          </c:tx>
          <c:spPr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0"/>
          <c:cat>
            <c:strRef>
              <c:f>'Производство зерна'!$C$2:$G$2</c:f>
              <c:strCache>
                <c:ptCount val="5"/>
                <c:pt idx="0">
                  <c:v>Посевна площадь (га)</c:v>
                </c:pt>
                <c:pt idx="1">
                  <c:v>Урожайность (т\га)</c:v>
                </c:pt>
                <c:pt idx="2">
                  <c:v>Валовой сбор (т)</c:v>
                </c:pt>
                <c:pt idx="3">
                  <c:v>Внутреннее потребление (т)</c:v>
                </c:pt>
                <c:pt idx="4">
                  <c:v>Экспорт (т)</c:v>
                </c:pt>
              </c:strCache>
            </c:strRef>
          </c:cat>
          <c:val>
            <c:numRef>
              <c:f>'Производство зерна'!$C$6:$G$6</c:f>
              <c:numCache>
                <c:formatCode>General</c:formatCode>
                <c:ptCount val="5"/>
                <c:pt idx="0">
                  <c:v>20000</c:v>
                </c:pt>
                <c:pt idx="1">
                  <c:v>4.5</c:v>
                </c:pt>
                <c:pt idx="2">
                  <c:v>72000</c:v>
                </c:pt>
                <c:pt idx="3">
                  <c:v>28800</c:v>
                </c:pt>
                <c:pt idx="4">
                  <c:v>30239.999999999996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1D-49DC-B97E-A2E3A0FD91E4}"/>
            </c:ext>
          </c:extLst>
        </c:ser>
        <c:ser>
          <c:idx val="4"/>
          <c:order val="4"/>
          <c:tx>
            <c:strRef>
              <c:f>'Производство зерна'!$B$7</c:f>
              <c:strCache>
                <c:ptCount val="1"/>
                <c:pt idx="0">
                  <c:v>Франция</c:v>
                </c:pt>
              </c:strCache>
            </c:strRef>
          </c:tx>
          <c:spPr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invertIfNegative val="0"/>
          <c:cat>
            <c:strRef>
              <c:f>'Производство зерна'!$C$2:$G$2</c:f>
              <c:strCache>
                <c:ptCount val="5"/>
                <c:pt idx="0">
                  <c:v>Посевна площадь (га)</c:v>
                </c:pt>
                <c:pt idx="1">
                  <c:v>Урожайность (т\га)</c:v>
                </c:pt>
                <c:pt idx="2">
                  <c:v>Валовой сбор (т)</c:v>
                </c:pt>
                <c:pt idx="3">
                  <c:v>Внутреннее потребление (т)</c:v>
                </c:pt>
                <c:pt idx="4">
                  <c:v>Экспорт (т)</c:v>
                </c:pt>
              </c:strCache>
            </c:strRef>
          </c:cat>
          <c:val>
            <c:numRef>
              <c:f>'Производство зерна'!$C$7:$G$7</c:f>
              <c:numCache>
                <c:formatCode>General</c:formatCode>
                <c:ptCount val="5"/>
                <c:pt idx="0">
                  <c:v>20000</c:v>
                </c:pt>
                <c:pt idx="1">
                  <c:v>3</c:v>
                </c:pt>
                <c:pt idx="2">
                  <c:v>48000</c:v>
                </c:pt>
                <c:pt idx="3">
                  <c:v>19200</c:v>
                </c:pt>
                <c:pt idx="4">
                  <c:v>20160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1D-49DC-B97E-A2E3A0FD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169607"/>
        <c:axId val="1866169608"/>
      </c:barChart>
      <c:catAx>
        <c:axId val="186616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608"/>
        <c:crosses val="autoZero"/>
        <c:auto val="1"/>
        <c:lblAlgn val="ctr"/>
        <c:lblOffset val="100"/>
        <c:noMultiLvlLbl val="0"/>
      </c:catAx>
      <c:valAx>
        <c:axId val="1866169608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60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8534399" y="4210049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542924</xdr:colOff>
      <xdr:row>1</xdr:row>
      <xdr:rowOff>152399</xdr:rowOff>
    </xdr:from>
    <xdr:to>
      <xdr:col>17</xdr:col>
      <xdr:colOff>228599</xdr:colOff>
      <xdr:row>18</xdr:row>
      <xdr:rowOff>123824</xdr:rowOff>
    </xdr:to>
    <xdr:graphicFrame macro="">
      <xdr:nvGraphicFramePr>
        <xdr:cNvPr id="2031187858" name="Диаграмма 2031187857">
          <a:extLst>
            <a:ext uri="{FF2B5EF4-FFF2-40B4-BE49-F238E27FC236}">
              <a16:creationId xmlns:a16="http://schemas.microsoft.com/office/drawing/2014/main" id="{00000000-0008-0000-0000-000092771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542924</xdr:colOff>
      <xdr:row>21</xdr:row>
      <xdr:rowOff>76199</xdr:rowOff>
    </xdr:from>
    <xdr:to>
      <xdr:col>17</xdr:col>
      <xdr:colOff>228599</xdr:colOff>
      <xdr:row>38</xdr:row>
      <xdr:rowOff>47623</xdr:rowOff>
    </xdr:to>
    <xdr:graphicFrame macro="">
      <xdr:nvGraphicFramePr>
        <xdr:cNvPr id="1532969695" name="Диаграмма 1532969694">
          <a:extLst>
            <a:ext uri="{FF2B5EF4-FFF2-40B4-BE49-F238E27FC236}">
              <a16:creationId xmlns:a16="http://schemas.microsoft.com/office/drawing/2014/main" id="{00000000-0008-0000-0000-0000DF425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657224</xdr:colOff>
      <xdr:row>16</xdr:row>
      <xdr:rowOff>95249</xdr:rowOff>
    </xdr:from>
    <xdr:to>
      <xdr:col>8</xdr:col>
      <xdr:colOff>342899</xdr:colOff>
      <xdr:row>33</xdr:row>
      <xdr:rowOff>66674</xdr:rowOff>
    </xdr:to>
    <xdr:graphicFrame macro="">
      <xdr:nvGraphicFramePr>
        <xdr:cNvPr id="882011034" name="Диаграмма 882011033">
          <a:extLst>
            <a:ext uri="{FF2B5EF4-FFF2-40B4-BE49-F238E27FC236}">
              <a16:creationId xmlns:a16="http://schemas.microsoft.com/office/drawing/2014/main" id="{00000000-0008-0000-0000-00009A6B9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161924</xdr:rowOff>
    </xdr:from>
    <xdr:to>
      <xdr:col>8</xdr:col>
      <xdr:colOff>285748</xdr:colOff>
      <xdr:row>19</xdr:row>
      <xdr:rowOff>133347</xdr:rowOff>
    </xdr:to>
    <xdr:graphicFrame macro="">
      <xdr:nvGraphicFramePr>
        <xdr:cNvPr id="1274809142" name="Диаграмма 1274809141">
          <a:extLst>
            <a:ext uri="{FF2B5EF4-FFF2-40B4-BE49-F238E27FC236}">
              <a16:creationId xmlns:a16="http://schemas.microsoft.com/office/drawing/2014/main" id="{00000000-0008-0000-0100-0000360BF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609599</xdr:colOff>
      <xdr:row>3</xdr:row>
      <xdr:rowOff>161924</xdr:rowOff>
    </xdr:from>
    <xdr:to>
      <xdr:col>20</xdr:col>
      <xdr:colOff>285748</xdr:colOff>
      <xdr:row>20</xdr:row>
      <xdr:rowOff>133347</xdr:rowOff>
    </xdr:to>
    <xdr:graphicFrame macro="">
      <xdr:nvGraphicFramePr>
        <xdr:cNvPr id="1341834586" name="Диаграмма 1341834585">
          <a:extLst>
            <a:ext uri="{FF2B5EF4-FFF2-40B4-BE49-F238E27FC236}">
              <a16:creationId xmlns:a16="http://schemas.microsoft.com/office/drawing/2014/main" id="{00000000-0008-0000-0100-00005AC5F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4</xdr:row>
      <xdr:rowOff>161924</xdr:rowOff>
    </xdr:from>
    <xdr:to>
      <xdr:col>10</xdr:col>
      <xdr:colOff>285748</xdr:colOff>
      <xdr:row>21</xdr:row>
      <xdr:rowOff>133348</xdr:rowOff>
    </xdr:to>
    <xdr:graphicFrame macro="">
      <xdr:nvGraphicFramePr>
        <xdr:cNvPr id="1673373178" name="Диаграмма 1673373177">
          <a:extLst>
            <a:ext uri="{FF2B5EF4-FFF2-40B4-BE49-F238E27FC236}">
              <a16:creationId xmlns:a16="http://schemas.microsoft.com/office/drawing/2014/main" id="{00000000-0008-0000-0300-0000FAA5B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609599</xdr:colOff>
      <xdr:row>4</xdr:row>
      <xdr:rowOff>161924</xdr:rowOff>
    </xdr:from>
    <xdr:to>
      <xdr:col>21</xdr:col>
      <xdr:colOff>285748</xdr:colOff>
      <xdr:row>21</xdr:row>
      <xdr:rowOff>133348</xdr:rowOff>
    </xdr:to>
    <xdr:graphicFrame macro="">
      <xdr:nvGraphicFramePr>
        <xdr:cNvPr id="1399557363" name="Диаграмма 1399557362">
          <a:extLst>
            <a:ext uri="{FF2B5EF4-FFF2-40B4-BE49-F238E27FC236}">
              <a16:creationId xmlns:a16="http://schemas.microsoft.com/office/drawing/2014/main" id="{00000000-0008-0000-0300-0000F38C6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609599</xdr:colOff>
      <xdr:row>25</xdr:row>
      <xdr:rowOff>161924</xdr:rowOff>
    </xdr:from>
    <xdr:to>
      <xdr:col>10</xdr:col>
      <xdr:colOff>285748</xdr:colOff>
      <xdr:row>42</xdr:row>
      <xdr:rowOff>133348</xdr:rowOff>
    </xdr:to>
    <xdr:graphicFrame macro="">
      <xdr:nvGraphicFramePr>
        <xdr:cNvPr id="630313870" name="Диаграмма 630313869">
          <a:extLst>
            <a:ext uri="{FF2B5EF4-FFF2-40B4-BE49-F238E27FC236}">
              <a16:creationId xmlns:a16="http://schemas.microsoft.com/office/drawing/2014/main" id="{00000000-0008-0000-0300-00008ED39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609599</xdr:colOff>
      <xdr:row>25</xdr:row>
      <xdr:rowOff>161924</xdr:rowOff>
    </xdr:from>
    <xdr:to>
      <xdr:col>21</xdr:col>
      <xdr:colOff>285748</xdr:colOff>
      <xdr:row>42</xdr:row>
      <xdr:rowOff>133348</xdr:rowOff>
    </xdr:to>
    <xdr:graphicFrame macro="">
      <xdr:nvGraphicFramePr>
        <xdr:cNvPr id="2066058324" name="Диаграмма 2066058323">
          <a:extLst>
            <a:ext uri="{FF2B5EF4-FFF2-40B4-BE49-F238E27FC236}">
              <a16:creationId xmlns:a16="http://schemas.microsoft.com/office/drawing/2014/main" id="{00000000-0008-0000-0300-0000548C2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11" xr:uid="{00000000-000A-0000-FFFF-FFFF00000000}">
  <cacheSource type="worksheet">
    <worksheetSource ref="A1:G12" sheet="Исходные данные"/>
  </cacheSource>
  <cacheFields count="7">
    <cacheField name="Месяц" numFmtId="0">
      <sharedItems count="6">
        <s v="Январь"/>
        <s v="Февраль"/>
        <s v="Сентябрь"/>
        <s v="Март"/>
        <s v="Май"/>
        <s v="Апрель"/>
      </sharedItems>
    </cacheField>
    <cacheField name="Год">
      <sharedItems containsSemiMixedTypes="0" containsString="0" containsNumber="1" containsInteger="1" minValue="2010" maxValue="2010" count="1">
        <n v="2010"/>
      </sharedItems>
    </cacheField>
    <cacheField name="Продукция" numFmtId="0">
      <sharedItems count="4">
        <s v="молоко"/>
        <s v="бакалея"/>
        <s v="мясо"/>
        <s v="напитки"/>
      </sharedItems>
    </cacheField>
    <cacheField name="Продавец" numFmtId="0">
      <sharedItems count="4">
        <s v="Петров"/>
        <s v="Никитин"/>
        <s v="Марченко"/>
        <s v="Сидоров"/>
      </sharedItems>
    </cacheField>
    <cacheField name="Сбыт">
      <sharedItems containsSemiMixedTypes="0" containsString="0" containsNumber="1" containsInteger="1" minValue="1546" maxValue="9465"/>
    </cacheField>
    <cacheField name="Объем">
      <sharedItems containsSemiMixedTypes="0" containsString="0" containsNumber="1" containsInteger="1" minValue="2678" maxValue="9970"/>
    </cacheField>
    <cacheField name="Район" numFmtId="0">
      <sharedItems count="4">
        <s v="Железнодорожный"/>
        <s v="Первомайский"/>
        <s v="Ленинский"/>
        <s v="Октябрьский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n v="4366"/>
    <n v="5689"/>
    <x v="0"/>
  </r>
  <r>
    <x v="0"/>
    <x v="0"/>
    <x v="0"/>
    <x v="1"/>
    <n v="2869"/>
    <n v="5678"/>
    <x v="1"/>
  </r>
  <r>
    <x v="0"/>
    <x v="0"/>
    <x v="0"/>
    <x v="0"/>
    <n v="2487"/>
    <n v="3571"/>
    <x v="0"/>
  </r>
  <r>
    <x v="1"/>
    <x v="0"/>
    <x v="1"/>
    <x v="2"/>
    <n v="6712"/>
    <n v="2678"/>
    <x v="2"/>
  </r>
  <r>
    <x v="1"/>
    <x v="0"/>
    <x v="2"/>
    <x v="0"/>
    <n v="9437"/>
    <n v="3470"/>
    <x v="3"/>
  </r>
  <r>
    <x v="2"/>
    <x v="0"/>
    <x v="1"/>
    <x v="2"/>
    <n v="8912"/>
    <n v="9710"/>
    <x v="0"/>
  </r>
  <r>
    <x v="3"/>
    <x v="0"/>
    <x v="2"/>
    <x v="0"/>
    <n v="2943"/>
    <n v="3744"/>
    <x v="1"/>
  </r>
  <r>
    <x v="4"/>
    <x v="0"/>
    <x v="1"/>
    <x v="3"/>
    <n v="1546"/>
    <n v="2734"/>
    <x v="1"/>
  </r>
  <r>
    <x v="4"/>
    <x v="0"/>
    <x v="3"/>
    <x v="3"/>
    <n v="8934"/>
    <n v="6715"/>
    <x v="3"/>
  </r>
  <r>
    <x v="5"/>
    <x v="0"/>
    <x v="3"/>
    <x v="2"/>
    <n v="4870"/>
    <n v="6248"/>
    <x v="1"/>
  </r>
  <r>
    <x v="5"/>
    <x v="0"/>
    <x v="3"/>
    <x v="1"/>
    <n v="9465"/>
    <n v="997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F9" firstHeaderRow="1" firstDataRow="2" firstDataCol="1"/>
  <pivotFields count="7">
    <pivotField showAll="0"/>
    <pivotField showAll="0">
      <items count="2"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Сбыт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2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1:F9" firstHeaderRow="1" firstDataRow="2" firstDataCol="1"/>
  <pivotFields count="7">
    <pivotField axis="axisRow" showAll="0">
      <items count="7">
        <item x="5"/>
        <item x="4"/>
        <item x="3"/>
        <item x="2"/>
        <item x="1"/>
        <item x="0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Сбыт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F17" totalsRowCount="1">
  <autoFilter ref="A1:F16" xr:uid="{00000000-0009-0000-0100-000001000000}">
    <filterColumn colId="1">
      <customFilters and="1">
        <customFilter val="К*"/>
      </customFilters>
    </filterColumn>
    <filterColumn colId="3">
      <customFilters and="1">
        <customFilter operator="greaterThanOrEqual" val="300"/>
        <customFilter operator="lessThan" val="800"/>
      </customFilters>
    </filterColumn>
  </autoFilter>
  <sortState xmlns:xlrd2="http://schemas.microsoft.com/office/spreadsheetml/2017/richdata2" ref="A2:F16">
    <sortCondition ref="A2:A16"/>
    <sortCondition ref="B2:B16"/>
  </sortState>
  <tableColumns count="6">
    <tableColumn id="1" xr3:uid="{00000000-0010-0000-0000-000001000000}" name="Дата" totalsRowLabel="Summary"/>
    <tableColumn id="2" xr3:uid="{00000000-0010-0000-0000-000002000000}" name="Тематика" totalsRowLabel="Summary"/>
    <tableColumn id="3" xr3:uid="{00000000-0010-0000-0000-000003000000}" name="Название" totalsRowLabel="Summary"/>
    <tableColumn id="4" xr3:uid="{00000000-0010-0000-0000-000004000000}" name="Цена" totalsRowFunction="average"/>
    <tableColumn id="5" xr3:uid="{00000000-0010-0000-0000-000005000000}" name="Количество" totalsRowFunction="min"/>
    <tableColumn id="6" xr3:uid="{00000000-0010-0000-0000-000006000000}" name="Стоимость" totalsRowFunction="sum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База данных"/>
    </ext>
  </extLst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5" workbookViewId="0">
      <selection activeCell="B7" sqref="B7"/>
    </sheetView>
  </sheetViews>
  <sheetFormatPr defaultColWidth="10.44140625" defaultRowHeight="13.2"/>
  <cols>
    <col min="1" max="1" width="17.5546875" customWidth="1"/>
  </cols>
  <sheetData>
    <row r="1" spans="1:6">
      <c r="B1" t="s">
        <v>0</v>
      </c>
    </row>
    <row r="3" spans="1:6">
      <c r="A3" t="s">
        <v>1</v>
      </c>
      <c r="B3">
        <v>350</v>
      </c>
    </row>
    <row r="4" spans="1:6">
      <c r="A4" t="s">
        <v>2</v>
      </c>
      <c r="B4">
        <v>80</v>
      </c>
    </row>
    <row r="5" spans="1:6">
      <c r="A5" t="s">
        <v>3</v>
      </c>
      <c r="B5" s="1">
        <v>0.45</v>
      </c>
    </row>
    <row r="6" spans="1:6"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6">
      <c r="A7" t="s">
        <v>9</v>
      </c>
      <c r="B7">
        <v>800</v>
      </c>
      <c r="C7">
        <v>1200</v>
      </c>
      <c r="D7">
        <v>1300</v>
      </c>
      <c r="E7">
        <v>1700</v>
      </c>
      <c r="F7">
        <v>5100</v>
      </c>
    </row>
    <row r="8" spans="1:6">
      <c r="A8" t="s">
        <v>10</v>
      </c>
      <c r="B8">
        <f>$B$3*B7</f>
        <v>280000</v>
      </c>
      <c r="C8">
        <f>$B$3*C7</f>
        <v>420000</v>
      </c>
      <c r="D8">
        <f>$B$3*D7</f>
        <v>455000</v>
      </c>
      <c r="E8">
        <f>$B$3*E7</f>
        <v>595000</v>
      </c>
      <c r="F8">
        <f>$B$3*F7</f>
        <v>1785000</v>
      </c>
    </row>
    <row r="9" spans="1:6">
      <c r="A9" t="s">
        <v>11</v>
      </c>
      <c r="B9">
        <f>(1-$B$5)*B8</f>
        <v>154000</v>
      </c>
      <c r="C9">
        <f>(1-$B$5)*C8</f>
        <v>231000.00000000003</v>
      </c>
      <c r="D9">
        <f>(1-$B$5)*D8</f>
        <v>250250.00000000003</v>
      </c>
      <c r="E9">
        <f>(1-$B$5)*E8</f>
        <v>327250</v>
      </c>
      <c r="F9">
        <f>(1-$B$5)*F8</f>
        <v>981750.00000000012</v>
      </c>
    </row>
    <row r="10" spans="1:6">
      <c r="A10" t="s">
        <v>12</v>
      </c>
      <c r="B10">
        <f>$B$4*B7</f>
        <v>64000</v>
      </c>
      <c r="C10">
        <f>$B$4*C7</f>
        <v>96000</v>
      </c>
      <c r="D10">
        <f>$B$4*D7</f>
        <v>104000</v>
      </c>
      <c r="E10">
        <f>$B$4*E7</f>
        <v>136000</v>
      </c>
      <c r="F10">
        <f>$B$4*F7</f>
        <v>408000</v>
      </c>
    </row>
    <row r="12" spans="1:6">
      <c r="A12" t="s">
        <v>13</v>
      </c>
      <c r="B12">
        <f>B8-(B9+B10)</f>
        <v>62000</v>
      </c>
      <c r="C12">
        <f>C8-(C9+C10)</f>
        <v>93000</v>
      </c>
      <c r="D12">
        <f>D8-(D9+D10)</f>
        <v>100750</v>
      </c>
      <c r="E12">
        <f>E8-(E9+E10)</f>
        <v>131750</v>
      </c>
      <c r="F12">
        <f>F8-(F9+F10)</f>
        <v>395250</v>
      </c>
    </row>
  </sheetData>
  <pageMargins left="0.7" right="0.7" top="0.75" bottom="0.75" header="0.51181102362204689" footer="0.51181102362204689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/>
  <sheetData/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3.2"/>
  <cols>
    <col min="2" max="2" width="10.109375" customWidth="1"/>
    <col min="3" max="3" width="20.33203125" customWidth="1"/>
    <col min="4" max="4" width="17.109375" customWidth="1"/>
    <col min="5" max="5" width="15.5546875" customWidth="1"/>
    <col min="6" max="6" width="26" customWidth="1"/>
    <col min="7" max="7" width="10.44140625" customWidth="1"/>
    <col min="8" max="8" width="26.109375" customWidth="1"/>
  </cols>
  <sheetData>
    <row r="1" spans="1:8">
      <c r="A1" s="2" t="s">
        <v>14</v>
      </c>
      <c r="B1" s="2"/>
      <c r="C1" s="2"/>
      <c r="D1" s="2"/>
      <c r="E1" s="2"/>
      <c r="F1" s="2"/>
      <c r="G1" s="2"/>
    </row>
    <row r="2" spans="1:8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>
      <c r="A3">
        <v>1</v>
      </c>
      <c r="B3" t="s">
        <v>23</v>
      </c>
      <c r="C3">
        <v>50000</v>
      </c>
      <c r="D3">
        <v>3.5</v>
      </c>
      <c r="E3">
        <f>C3*D3*80%</f>
        <v>140000</v>
      </c>
      <c r="F3">
        <f>E3*60%</f>
        <v>84000</v>
      </c>
      <c r="G3">
        <f>(E3-F3)*70%</f>
        <v>39200</v>
      </c>
      <c r="H3">
        <f t="shared" ref="H3:H8" si="0">IF(G3&gt;F3,"Международный поставщик",0)</f>
        <v>0</v>
      </c>
    </row>
    <row r="4" spans="1:8">
      <c r="A4">
        <v>2</v>
      </c>
      <c r="B4" t="s">
        <v>24</v>
      </c>
      <c r="C4">
        <v>35000</v>
      </c>
      <c r="D4">
        <v>4.7</v>
      </c>
      <c r="E4">
        <f>C4*D4*80%</f>
        <v>131600</v>
      </c>
      <c r="F4">
        <f>E4*60%</f>
        <v>78960</v>
      </c>
      <c r="G4">
        <f>(E4-F4)*70%</f>
        <v>36848</v>
      </c>
      <c r="H4">
        <f t="shared" si="0"/>
        <v>0</v>
      </c>
    </row>
    <row r="5" spans="1:8">
      <c r="A5">
        <v>3</v>
      </c>
      <c r="B5" t="s">
        <v>25</v>
      </c>
      <c r="C5">
        <v>40000</v>
      </c>
      <c r="D5">
        <v>5</v>
      </c>
      <c r="E5">
        <f>C5*D5*80%</f>
        <v>160000</v>
      </c>
      <c r="F5">
        <f>E5*40%</f>
        <v>64000</v>
      </c>
      <c r="G5">
        <f>(E5-F5)*70%</f>
        <v>67200</v>
      </c>
      <c r="H5" t="str">
        <f t="shared" si="0"/>
        <v>Международный поставщик</v>
      </c>
    </row>
    <row r="6" spans="1:8">
      <c r="A6">
        <v>4</v>
      </c>
      <c r="B6" t="s">
        <v>26</v>
      </c>
      <c r="C6">
        <v>20000</v>
      </c>
      <c r="D6">
        <v>4.5</v>
      </c>
      <c r="E6">
        <f>C6*D6*80%</f>
        <v>72000</v>
      </c>
      <c r="F6">
        <f>E6*40%</f>
        <v>28800</v>
      </c>
      <c r="G6">
        <f>(E6-F6)*70%</f>
        <v>30239.999999999996</v>
      </c>
      <c r="H6" t="str">
        <f t="shared" si="0"/>
        <v>Международный поставщик</v>
      </c>
    </row>
    <row r="7" spans="1:8">
      <c r="A7">
        <v>5</v>
      </c>
      <c r="B7" t="s">
        <v>27</v>
      </c>
      <c r="C7">
        <v>20000</v>
      </c>
      <c r="D7">
        <v>3</v>
      </c>
      <c r="E7">
        <f>C7*D7*80%</f>
        <v>48000</v>
      </c>
      <c r="F7">
        <f>E7*40%</f>
        <v>19200</v>
      </c>
      <c r="G7">
        <f>(E7-F7)*70%</f>
        <v>20160</v>
      </c>
      <c r="H7" t="str">
        <f t="shared" si="0"/>
        <v>Международный поставщик</v>
      </c>
    </row>
    <row r="8" spans="1:8">
      <c r="B8" t="s">
        <v>28</v>
      </c>
      <c r="C8">
        <f>SUM(C3:C7)</f>
        <v>165000</v>
      </c>
      <c r="E8">
        <f>SUM(E3:E7)</f>
        <v>551600</v>
      </c>
      <c r="F8">
        <f>SUM(F3:F7)</f>
        <v>274960</v>
      </c>
      <c r="G8">
        <f>SUM(G3:G7)</f>
        <v>193648</v>
      </c>
      <c r="H8">
        <f t="shared" si="0"/>
        <v>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/>
  <sheetData/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defaultRowHeight="13.2"/>
  <cols>
    <col min="2" max="2" width="12.44140625" customWidth="1"/>
    <col min="3" max="3" width="18.5546875" customWidth="1"/>
    <col min="5" max="5" width="14.109375" bestFit="1" customWidth="1"/>
    <col min="6" max="6" width="13.5546875" bestFit="1" customWidth="1"/>
  </cols>
  <sheetData>
    <row r="1" spans="1: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hidden="1">
      <c r="A2" t="s">
        <v>35</v>
      </c>
      <c r="B2" t="s">
        <v>36</v>
      </c>
      <c r="C2" t="s">
        <v>37</v>
      </c>
      <c r="D2">
        <v>270</v>
      </c>
      <c r="E2">
        <v>100</v>
      </c>
      <c r="F2">
        <f t="shared" ref="F2:F16" si="0">D2*E2</f>
        <v>27000</v>
      </c>
    </row>
    <row r="3" spans="1:6">
      <c r="A3" t="s">
        <v>35</v>
      </c>
      <c r="B3" t="s">
        <v>36</v>
      </c>
      <c r="C3" t="s">
        <v>38</v>
      </c>
      <c r="D3">
        <v>600</v>
      </c>
      <c r="E3">
        <v>100</v>
      </c>
      <c r="F3">
        <f t="shared" si="0"/>
        <v>60000</v>
      </c>
    </row>
    <row r="4" spans="1:6" hidden="1">
      <c r="A4" t="s">
        <v>35</v>
      </c>
      <c r="B4" t="s">
        <v>39</v>
      </c>
      <c r="C4" t="s">
        <v>40</v>
      </c>
      <c r="D4">
        <v>300</v>
      </c>
      <c r="E4">
        <v>80</v>
      </c>
      <c r="F4">
        <f t="shared" si="0"/>
        <v>24000</v>
      </c>
    </row>
    <row r="5" spans="1:6" hidden="1">
      <c r="A5" t="s">
        <v>35</v>
      </c>
      <c r="B5" t="s">
        <v>41</v>
      </c>
      <c r="C5" t="s">
        <v>42</v>
      </c>
      <c r="D5">
        <v>1000</v>
      </c>
      <c r="E5">
        <v>90</v>
      </c>
      <c r="F5">
        <f t="shared" si="0"/>
        <v>90000</v>
      </c>
    </row>
    <row r="6" spans="1:6" hidden="1">
      <c r="A6" t="s">
        <v>43</v>
      </c>
      <c r="B6" t="s">
        <v>36</v>
      </c>
      <c r="C6" t="s">
        <v>37</v>
      </c>
      <c r="D6">
        <v>270</v>
      </c>
      <c r="E6">
        <v>70</v>
      </c>
      <c r="F6">
        <f t="shared" si="0"/>
        <v>18900</v>
      </c>
    </row>
    <row r="7" spans="1:6" hidden="1">
      <c r="A7" t="s">
        <v>43</v>
      </c>
      <c r="B7" t="s">
        <v>44</v>
      </c>
      <c r="C7" t="s">
        <v>45</v>
      </c>
      <c r="D7">
        <v>200</v>
      </c>
      <c r="E7">
        <v>70</v>
      </c>
      <c r="F7">
        <f t="shared" si="0"/>
        <v>14000</v>
      </c>
    </row>
    <row r="8" spans="1:6" hidden="1">
      <c r="A8" t="s">
        <v>43</v>
      </c>
      <c r="B8" t="s">
        <v>41</v>
      </c>
      <c r="C8" t="s">
        <v>46</v>
      </c>
      <c r="D8">
        <v>800</v>
      </c>
      <c r="E8">
        <v>80</v>
      </c>
      <c r="F8">
        <f t="shared" si="0"/>
        <v>64000</v>
      </c>
    </row>
    <row r="9" spans="1:6" hidden="1">
      <c r="A9" t="s">
        <v>43</v>
      </c>
      <c r="B9" t="s">
        <v>41</v>
      </c>
      <c r="C9" t="s">
        <v>42</v>
      </c>
      <c r="D9">
        <v>1000</v>
      </c>
      <c r="E9">
        <v>80</v>
      </c>
      <c r="F9">
        <f t="shared" si="0"/>
        <v>80000</v>
      </c>
    </row>
    <row r="10" spans="1:6">
      <c r="A10" t="s">
        <v>47</v>
      </c>
      <c r="B10" t="s">
        <v>36</v>
      </c>
      <c r="C10" t="s">
        <v>38</v>
      </c>
      <c r="D10">
        <v>600</v>
      </c>
      <c r="E10">
        <v>80</v>
      </c>
      <c r="F10">
        <f t="shared" si="0"/>
        <v>48000</v>
      </c>
    </row>
    <row r="11" spans="1:6" hidden="1">
      <c r="A11" t="s">
        <v>47</v>
      </c>
      <c r="B11" t="s">
        <v>44</v>
      </c>
      <c r="C11" t="s">
        <v>40</v>
      </c>
      <c r="D11">
        <v>300</v>
      </c>
      <c r="E11">
        <v>40</v>
      </c>
      <c r="F11">
        <f t="shared" si="0"/>
        <v>12000</v>
      </c>
    </row>
    <row r="12" spans="1:6" hidden="1">
      <c r="A12" t="s">
        <v>47</v>
      </c>
      <c r="B12" t="s">
        <v>39</v>
      </c>
      <c r="C12" t="s">
        <v>45</v>
      </c>
      <c r="D12">
        <v>200</v>
      </c>
      <c r="E12">
        <v>90</v>
      </c>
      <c r="F12">
        <f t="shared" si="0"/>
        <v>18000</v>
      </c>
    </row>
    <row r="13" spans="1:6" hidden="1">
      <c r="A13" t="s">
        <v>47</v>
      </c>
      <c r="B13" t="s">
        <v>41</v>
      </c>
      <c r="C13" t="s">
        <v>42</v>
      </c>
      <c r="D13">
        <v>1000</v>
      </c>
      <c r="E13">
        <v>50</v>
      </c>
      <c r="F13">
        <f t="shared" si="0"/>
        <v>50000</v>
      </c>
    </row>
    <row r="14" spans="1:6">
      <c r="A14" t="s">
        <v>48</v>
      </c>
      <c r="B14" t="s">
        <v>36</v>
      </c>
      <c r="C14" t="s">
        <v>38</v>
      </c>
      <c r="D14">
        <v>600</v>
      </c>
      <c r="E14">
        <v>70</v>
      </c>
      <c r="F14">
        <f t="shared" si="0"/>
        <v>42000</v>
      </c>
    </row>
    <row r="15" spans="1:6" hidden="1">
      <c r="A15" t="s">
        <v>48</v>
      </c>
      <c r="B15" t="s">
        <v>44</v>
      </c>
      <c r="C15" t="s">
        <v>45</v>
      </c>
      <c r="D15">
        <v>200</v>
      </c>
      <c r="E15">
        <v>40</v>
      </c>
      <c r="F15">
        <f t="shared" si="0"/>
        <v>8000</v>
      </c>
    </row>
    <row r="16" spans="1:6" hidden="1">
      <c r="A16" t="s">
        <v>48</v>
      </c>
      <c r="B16" t="s">
        <v>41</v>
      </c>
      <c r="C16" t="s">
        <v>46</v>
      </c>
      <c r="D16">
        <v>800</v>
      </c>
      <c r="E16">
        <v>60</v>
      </c>
      <c r="F16">
        <f t="shared" si="0"/>
        <v>48000</v>
      </c>
    </row>
    <row r="17" spans="1:6">
      <c r="A17" t="s">
        <v>49</v>
      </c>
      <c r="B17" t="s">
        <v>49</v>
      </c>
      <c r="C17" t="s">
        <v>49</v>
      </c>
      <c r="D17">
        <f>SUBTOTAL(101,Таблица1[Цена])</f>
        <v>600</v>
      </c>
      <c r="E17">
        <f>SUBTOTAL(105,Таблица1[Количество])</f>
        <v>70</v>
      </c>
      <c r="F17">
        <f>SUBTOTAL(109,Таблица1[Стоимость])</f>
        <v>150000</v>
      </c>
    </row>
  </sheetData>
  <pageMargins left="0.70078740157480324" right="0.70078740157480324" top="0.75196850393700787" bottom="0.75196850393700787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RowHeight="13.2"/>
  <cols>
    <col min="3" max="3" width="10.88671875" customWidth="1"/>
    <col min="4" max="4" width="9.6640625" customWidth="1"/>
    <col min="7" max="7" width="17.886718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57</v>
      </c>
      <c r="B2">
        <v>2010</v>
      </c>
      <c r="C2" t="s">
        <v>58</v>
      </c>
      <c r="D2" t="s">
        <v>59</v>
      </c>
      <c r="E2">
        <v>4366</v>
      </c>
      <c r="F2">
        <v>5689</v>
      </c>
      <c r="G2" t="s">
        <v>60</v>
      </c>
    </row>
    <row r="3" spans="1:7">
      <c r="A3" t="s">
        <v>57</v>
      </c>
      <c r="B3">
        <v>2010</v>
      </c>
      <c r="C3" t="s">
        <v>58</v>
      </c>
      <c r="D3" t="s">
        <v>61</v>
      </c>
      <c r="E3">
        <v>2869</v>
      </c>
      <c r="F3">
        <v>5678</v>
      </c>
      <c r="G3" t="s">
        <v>62</v>
      </c>
    </row>
    <row r="4" spans="1:7">
      <c r="A4" t="s">
        <v>57</v>
      </c>
      <c r="B4">
        <v>2010</v>
      </c>
      <c r="C4" t="s">
        <v>58</v>
      </c>
      <c r="D4" t="s">
        <v>59</v>
      </c>
      <c r="E4">
        <v>2487</v>
      </c>
      <c r="F4">
        <v>3571</v>
      </c>
      <c r="G4" t="s">
        <v>60</v>
      </c>
    </row>
    <row r="5" spans="1:7">
      <c r="A5" t="s">
        <v>63</v>
      </c>
      <c r="B5">
        <v>2010</v>
      </c>
      <c r="C5" t="s">
        <v>64</v>
      </c>
      <c r="D5" t="s">
        <v>65</v>
      </c>
      <c r="E5">
        <v>6712</v>
      </c>
      <c r="F5">
        <v>2678</v>
      </c>
      <c r="G5" t="s">
        <v>66</v>
      </c>
    </row>
    <row r="6" spans="1:7">
      <c r="A6" t="s">
        <v>63</v>
      </c>
      <c r="B6">
        <v>2010</v>
      </c>
      <c r="C6" t="s">
        <v>67</v>
      </c>
      <c r="D6" t="s">
        <v>59</v>
      </c>
      <c r="E6">
        <v>9437</v>
      </c>
      <c r="F6">
        <v>3470</v>
      </c>
      <c r="G6" t="s">
        <v>68</v>
      </c>
    </row>
    <row r="7" spans="1:7">
      <c r="A7" t="s">
        <v>69</v>
      </c>
      <c r="B7">
        <v>2010</v>
      </c>
      <c r="C7" t="s">
        <v>64</v>
      </c>
      <c r="D7" t="s">
        <v>65</v>
      </c>
      <c r="E7">
        <v>8912</v>
      </c>
      <c r="F7">
        <v>9710</v>
      </c>
      <c r="G7" t="s">
        <v>60</v>
      </c>
    </row>
    <row r="8" spans="1:7">
      <c r="A8" t="s">
        <v>70</v>
      </c>
      <c r="B8">
        <v>2010</v>
      </c>
      <c r="C8" t="s">
        <v>67</v>
      </c>
      <c r="D8" t="s">
        <v>59</v>
      </c>
      <c r="E8">
        <v>2943</v>
      </c>
      <c r="F8">
        <v>3744</v>
      </c>
      <c r="G8" t="s">
        <v>62</v>
      </c>
    </row>
    <row r="9" spans="1:7">
      <c r="A9" t="s">
        <v>71</v>
      </c>
      <c r="B9">
        <v>2010</v>
      </c>
      <c r="C9" t="s">
        <v>64</v>
      </c>
      <c r="D9" t="s">
        <v>72</v>
      </c>
      <c r="E9">
        <v>1546</v>
      </c>
      <c r="F9">
        <v>2734</v>
      </c>
      <c r="G9" t="s">
        <v>62</v>
      </c>
    </row>
    <row r="10" spans="1:7">
      <c r="A10" t="s">
        <v>71</v>
      </c>
      <c r="B10">
        <v>2010</v>
      </c>
      <c r="C10" t="s">
        <v>73</v>
      </c>
      <c r="D10" t="s">
        <v>72</v>
      </c>
      <c r="E10">
        <v>8934</v>
      </c>
      <c r="F10">
        <v>6715</v>
      </c>
      <c r="G10" t="s">
        <v>68</v>
      </c>
    </row>
    <row r="11" spans="1:7">
      <c r="A11" t="s">
        <v>74</v>
      </c>
      <c r="B11">
        <v>2010</v>
      </c>
      <c r="C11" t="s">
        <v>73</v>
      </c>
      <c r="D11" t="s">
        <v>65</v>
      </c>
      <c r="E11">
        <v>4870</v>
      </c>
      <c r="F11">
        <v>6248</v>
      </c>
      <c r="G11" t="s">
        <v>62</v>
      </c>
    </row>
    <row r="12" spans="1:7">
      <c r="A12" t="s">
        <v>74</v>
      </c>
      <c r="B12">
        <v>2010</v>
      </c>
      <c r="C12" t="s">
        <v>73</v>
      </c>
      <c r="D12" t="s">
        <v>61</v>
      </c>
      <c r="E12">
        <v>9465</v>
      </c>
      <c r="F12">
        <v>9970</v>
      </c>
      <c r="G12" t="s">
        <v>68</v>
      </c>
    </row>
  </sheetData>
  <autoFilter ref="A1:G12" xr:uid="{00000000-0009-0000-0000-000005000000}">
    <sortState xmlns:xlrd2="http://schemas.microsoft.com/office/spreadsheetml/2017/richdata2" ref="A2:G12">
      <sortCondition descending="1" ref="A1:A12"/>
    </sortState>
  </autoFilter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9"/>
  <sheetViews>
    <sheetView workbookViewId="0"/>
  </sheetViews>
  <sheetFormatPr defaultRowHeight="13.2"/>
  <cols>
    <col min="1" max="1" width="18" bestFit="1"/>
    <col min="2" max="2" width="21.5546875" bestFit="1"/>
    <col min="3" max="3" width="10.6640625" bestFit="1"/>
    <col min="4" max="4" width="13" bestFit="1"/>
    <col min="5" max="5" width="14.44140625" bestFit="1"/>
    <col min="6" max="6" width="11.88671875" bestFit="1"/>
    <col min="7" max="7" width="10.44140625" bestFit="1"/>
    <col min="8" max="8" width="10.6640625" bestFit="1"/>
    <col min="9" max="9" width="13.33203125" bestFit="1"/>
    <col min="10" max="10" width="11.88671875" bestFit="1"/>
  </cols>
  <sheetData>
    <row r="3" spans="1:6">
      <c r="A3" t="s">
        <v>75</v>
      </c>
      <c r="B3" t="s">
        <v>76</v>
      </c>
    </row>
    <row r="4" spans="1:6">
      <c r="A4" t="s">
        <v>77</v>
      </c>
      <c r="B4" t="s">
        <v>60</v>
      </c>
      <c r="C4" t="s">
        <v>66</v>
      </c>
      <c r="D4" t="s">
        <v>68</v>
      </c>
      <c r="E4" t="s">
        <v>62</v>
      </c>
      <c r="F4" t="s">
        <v>78</v>
      </c>
    </row>
    <row r="5" spans="1:6">
      <c r="A5" s="2" t="s">
        <v>64</v>
      </c>
      <c r="B5">
        <v>8912</v>
      </c>
      <c r="C5">
        <v>6712</v>
      </c>
      <c r="E5">
        <v>1546</v>
      </c>
      <c r="F5">
        <v>17170</v>
      </c>
    </row>
    <row r="6" spans="1:6">
      <c r="A6" s="2" t="s">
        <v>58</v>
      </c>
      <c r="B6">
        <v>6853</v>
      </c>
      <c r="E6">
        <v>2869</v>
      </c>
      <c r="F6">
        <v>9722</v>
      </c>
    </row>
    <row r="7" spans="1:6">
      <c r="A7" s="2" t="s">
        <v>67</v>
      </c>
      <c r="D7">
        <v>9437</v>
      </c>
      <c r="E7">
        <v>2943</v>
      </c>
      <c r="F7">
        <v>12380</v>
      </c>
    </row>
    <row r="8" spans="1:6">
      <c r="A8" s="2" t="s">
        <v>73</v>
      </c>
      <c r="D8">
        <v>18399</v>
      </c>
      <c r="E8">
        <v>4870</v>
      </c>
      <c r="F8">
        <v>23269</v>
      </c>
    </row>
    <row r="9" spans="1:6">
      <c r="A9" s="2" t="s">
        <v>78</v>
      </c>
      <c r="B9">
        <v>15765</v>
      </c>
      <c r="C9">
        <v>6712</v>
      </c>
      <c r="D9">
        <v>27836</v>
      </c>
      <c r="E9">
        <v>12228</v>
      </c>
      <c r="F9">
        <v>62541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/>
  </sheetViews>
  <sheetFormatPr defaultRowHeight="13.2"/>
  <cols>
    <col min="1" max="1" width="18" bestFit="1"/>
    <col min="2" max="2" width="21.5546875" bestFit="1"/>
    <col min="3" max="3" width="7.6640625" bestFit="1"/>
    <col min="4" max="4" width="5.6640625" bestFit="1"/>
    <col min="5" max="5" width="8.33203125" bestFit="1"/>
    <col min="6" max="6" width="11.88671875" bestFit="1"/>
    <col min="7" max="7" width="13.6640625" bestFit="1"/>
    <col min="8" max="8" width="10.109375" bestFit="1"/>
    <col min="9" max="9" width="7.88671875" bestFit="1"/>
    <col min="10" max="10" width="12.5546875" bestFit="1"/>
    <col min="11" max="11" width="11.44140625" bestFit="1"/>
    <col min="12" max="12" width="10.6640625" bestFit="1"/>
    <col min="13" max="13" width="14" bestFit="1"/>
    <col min="14" max="14" width="11.88671875" bestFit="1"/>
  </cols>
  <sheetData>
    <row r="1" spans="1:6">
      <c r="A1" t="s">
        <v>75</v>
      </c>
      <c r="B1" t="s">
        <v>76</v>
      </c>
    </row>
    <row r="2" spans="1:6">
      <c r="A2" t="s">
        <v>77</v>
      </c>
      <c r="B2" t="s">
        <v>64</v>
      </c>
      <c r="C2" t="s">
        <v>58</v>
      </c>
      <c r="D2" t="s">
        <v>67</v>
      </c>
      <c r="E2" t="s">
        <v>73</v>
      </c>
      <c r="F2" t="s">
        <v>78</v>
      </c>
    </row>
    <row r="3" spans="1:6">
      <c r="A3" s="2" t="s">
        <v>74</v>
      </c>
      <c r="E3">
        <v>14335</v>
      </c>
      <c r="F3">
        <v>14335</v>
      </c>
    </row>
    <row r="4" spans="1:6">
      <c r="A4" s="2" t="s">
        <v>71</v>
      </c>
      <c r="B4">
        <v>1546</v>
      </c>
      <c r="E4">
        <v>8934</v>
      </c>
      <c r="F4">
        <v>10480</v>
      </c>
    </row>
    <row r="5" spans="1:6">
      <c r="A5" s="2" t="s">
        <v>70</v>
      </c>
      <c r="D5">
        <v>2943</v>
      </c>
      <c r="F5">
        <v>2943</v>
      </c>
    </row>
    <row r="6" spans="1:6">
      <c r="A6" s="2" t="s">
        <v>69</v>
      </c>
      <c r="B6">
        <v>8912</v>
      </c>
      <c r="F6">
        <v>8912</v>
      </c>
    </row>
    <row r="7" spans="1:6">
      <c r="A7" s="2" t="s">
        <v>63</v>
      </c>
      <c r="B7">
        <v>6712</v>
      </c>
      <c r="D7">
        <v>9437</v>
      </c>
      <c r="F7">
        <v>16149</v>
      </c>
    </row>
    <row r="8" spans="1:6">
      <c r="A8" s="2" t="s">
        <v>57</v>
      </c>
      <c r="C8">
        <v>9722</v>
      </c>
      <c r="F8">
        <v>9722</v>
      </c>
    </row>
    <row r="9" spans="1:6">
      <c r="A9" s="2" t="s">
        <v>78</v>
      </c>
      <c r="B9">
        <v>17170</v>
      </c>
      <c r="C9">
        <v>9722</v>
      </c>
      <c r="D9">
        <v>12380</v>
      </c>
      <c r="E9">
        <v>23269</v>
      </c>
      <c r="F9">
        <v>62541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Диаграммы</vt:lpstr>
      <vt:lpstr>Производство зерна</vt:lpstr>
      <vt:lpstr>Диаграммы.Производство зерна</vt:lpstr>
      <vt:lpstr>Литература</vt:lpstr>
      <vt:lpstr>Исходные данные</vt:lpstr>
      <vt:lpstr>Год-Продукция</vt:lpstr>
      <vt:lpstr>Поставщики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Андрей Градсков</cp:lastModifiedBy>
  <cp:revision>4</cp:revision>
  <dcterms:created xsi:type="dcterms:W3CDTF">2023-08-25T14:01:22Z</dcterms:created>
  <dcterms:modified xsi:type="dcterms:W3CDTF">2026-03-15T20:27:11Z</dcterms:modified>
  <dc:language>ru-RU</dc:language>
</cp:coreProperties>
</file>